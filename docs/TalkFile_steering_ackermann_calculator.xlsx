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jypa\Downloads\"/>
    </mc:Choice>
  </mc:AlternateContent>
  <xr:revisionPtr revIDLastSave="0" documentId="13_ncr:1_{03D70A8F-1F68-4A4F-BC2E-C7130FD33AD9}" xr6:coauthVersionLast="47" xr6:coauthVersionMax="47" xr10:uidLastSave="{00000000-0000-0000-0000-000000000000}"/>
  <bookViews>
    <workbookView xWindow="-98" yWindow="-98" windowWidth="23236" windowHeight="13996" firstSheet="1" activeTab="6" xr2:uid="{00000000-000D-0000-FFFF-FFFF00000000}"/>
  </bookViews>
  <sheets>
    <sheet name="Inputs" sheetId="1" r:id="rId1"/>
    <sheet name="Geometry" sheetId="2" r:id="rId2"/>
    <sheet name="Math" sheetId="3" r:id="rId3"/>
    <sheet name="Steering_Calc" sheetId="4" r:id="rId4"/>
    <sheet name="ReadMe" sheetId="5" r:id="rId5"/>
    <sheet name="Formula_Test" sheetId="6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C11" i="2" s="1"/>
  <c r="B19" i="1"/>
  <c r="C21" i="1"/>
  <c r="C20" i="1"/>
  <c r="C19" i="1"/>
  <c r="D21" i="1"/>
  <c r="D20" i="1"/>
  <c r="D19" i="1"/>
  <c r="D18" i="1"/>
  <c r="C18" i="1"/>
  <c r="B18" i="1"/>
  <c r="C3" i="2" s="1"/>
  <c r="A102" i="3"/>
  <c r="A101" i="3"/>
  <c r="C101" i="3" s="1"/>
  <c r="A100" i="3"/>
  <c r="A99" i="3"/>
  <c r="B99" i="3" s="1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7" i="4" s="1"/>
  <c r="A84" i="3"/>
  <c r="A86" i="4" s="1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9" i="4" s="1"/>
  <c r="A46" i="3"/>
  <c r="A48" i="4" s="1"/>
  <c r="A45" i="3"/>
  <c r="A47" i="4" s="1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10" i="4" s="1"/>
  <c r="A7" i="3"/>
  <c r="A9" i="4" s="1"/>
  <c r="A6" i="3"/>
  <c r="A8" i="4" s="1"/>
  <c r="A5" i="3"/>
  <c r="A7" i="4" s="1"/>
  <c r="A4" i="3"/>
  <c r="A3" i="3"/>
  <c r="A2" i="3"/>
  <c r="C29" i="2"/>
  <c r="B29" i="2"/>
  <c r="C26" i="2"/>
  <c r="B26" i="2"/>
  <c r="B24" i="2"/>
  <c r="B13" i="2"/>
  <c r="B12" i="2"/>
  <c r="B11" i="2"/>
  <c r="B5" i="2"/>
  <c r="B4" i="2"/>
  <c r="B3" i="2"/>
  <c r="C12" i="2" l="1"/>
  <c r="C24" i="2"/>
  <c r="C4" i="2"/>
  <c r="C13" i="2"/>
  <c r="C5" i="2"/>
  <c r="C6" i="2" s="1"/>
  <c r="C7" i="2" s="1"/>
  <c r="T85" i="3"/>
  <c r="W85" i="3" s="1"/>
  <c r="S85" i="3"/>
  <c r="V85" i="3" s="1"/>
  <c r="R85" i="3"/>
  <c r="U85" i="3" s="1"/>
  <c r="T66" i="3"/>
  <c r="W66" i="3" s="1"/>
  <c r="S66" i="3"/>
  <c r="V66" i="3" s="1"/>
  <c r="R66" i="3"/>
  <c r="U66" i="3" s="1"/>
  <c r="S47" i="3"/>
  <c r="R47" i="3"/>
  <c r="T47" i="3"/>
  <c r="T28" i="3"/>
  <c r="S28" i="3"/>
  <c r="R28" i="3"/>
  <c r="D28" i="3"/>
  <c r="C28" i="3"/>
  <c r="T18" i="3"/>
  <c r="S18" i="3"/>
  <c r="A104" i="4"/>
  <c r="B102" i="3"/>
  <c r="C102" i="3"/>
  <c r="D102" i="3"/>
  <c r="G102" i="3" s="1"/>
  <c r="E102" i="3"/>
  <c r="R102" i="3"/>
  <c r="T102" i="3"/>
  <c r="W102" i="3" s="1"/>
  <c r="U102" i="3"/>
  <c r="F102" i="3"/>
  <c r="S102" i="3"/>
  <c r="V102" i="3" s="1"/>
  <c r="A103" i="4"/>
  <c r="F101" i="3"/>
  <c r="D101" i="3"/>
  <c r="G101" i="3" s="1"/>
  <c r="B101" i="3"/>
  <c r="E101" i="3" s="1"/>
  <c r="T101" i="3"/>
  <c r="W101" i="3" s="1"/>
  <c r="R101" i="3"/>
  <c r="U101" i="3" s="1"/>
  <c r="S101" i="3"/>
  <c r="V101" i="3" s="1"/>
  <c r="A102" i="4"/>
  <c r="S100" i="3"/>
  <c r="V100" i="3" s="1"/>
  <c r="R100" i="3"/>
  <c r="U100" i="3" s="1"/>
  <c r="D100" i="3"/>
  <c r="G100" i="3" s="1"/>
  <c r="J100" i="3" s="1"/>
  <c r="C100" i="3"/>
  <c r="F100" i="3" s="1"/>
  <c r="B100" i="3"/>
  <c r="E100" i="3"/>
  <c r="T100" i="3"/>
  <c r="W100" i="3" s="1"/>
  <c r="S99" i="3"/>
  <c r="V99" i="3" s="1"/>
  <c r="T99" i="3"/>
  <c r="W99" i="3" s="1"/>
  <c r="E99" i="3"/>
  <c r="C99" i="3"/>
  <c r="F99" i="3" s="1"/>
  <c r="R99" i="3"/>
  <c r="U99" i="3" s="1"/>
  <c r="D99" i="3"/>
  <c r="G99" i="3" s="1"/>
  <c r="A101" i="4"/>
  <c r="A100" i="4"/>
  <c r="S98" i="3"/>
  <c r="D98" i="3"/>
  <c r="B98" i="3"/>
  <c r="E98" i="3" s="1"/>
  <c r="C98" i="3"/>
  <c r="F98" i="3" s="1"/>
  <c r="V98" i="3"/>
  <c r="T98" i="3"/>
  <c r="W98" i="3" s="1"/>
  <c r="R98" i="3"/>
  <c r="U98" i="3" s="1"/>
  <c r="G98" i="3"/>
  <c r="A99" i="4"/>
  <c r="S97" i="3"/>
  <c r="V97" i="3" s="1"/>
  <c r="C97" i="3"/>
  <c r="F97" i="3" s="1"/>
  <c r="R97" i="3"/>
  <c r="U97" i="3" s="1"/>
  <c r="T97" i="3"/>
  <c r="W97" i="3" s="1"/>
  <c r="D97" i="3"/>
  <c r="G97" i="3" s="1"/>
  <c r="B97" i="3"/>
  <c r="E97" i="3" s="1"/>
  <c r="A98" i="4"/>
  <c r="B96" i="3"/>
  <c r="C96" i="3"/>
  <c r="E96" i="3"/>
  <c r="R96" i="3"/>
  <c r="U96" i="3" s="1"/>
  <c r="S96" i="3"/>
  <c r="V96" i="3"/>
  <c r="F96" i="3"/>
  <c r="T96" i="3"/>
  <c r="W96" i="3" s="1"/>
  <c r="D96" i="3"/>
  <c r="G96" i="3" s="1"/>
  <c r="I96" i="3" s="1"/>
  <c r="A97" i="4"/>
  <c r="S95" i="3"/>
  <c r="C95" i="3"/>
  <c r="V95" i="3"/>
  <c r="R95" i="3"/>
  <c r="U95" i="3" s="1"/>
  <c r="F95" i="3"/>
  <c r="D95" i="3"/>
  <c r="G95" i="3" s="1"/>
  <c r="B95" i="3"/>
  <c r="E95" i="3" s="1"/>
  <c r="T95" i="3"/>
  <c r="W95" i="3" s="1"/>
  <c r="A96" i="4"/>
  <c r="C94" i="3"/>
  <c r="F94" i="3" s="1"/>
  <c r="D94" i="3"/>
  <c r="G94" i="3" s="1"/>
  <c r="R94" i="3"/>
  <c r="U94" i="3" s="1"/>
  <c r="T94" i="3"/>
  <c r="S94" i="3"/>
  <c r="B94" i="3"/>
  <c r="E94" i="3" s="1"/>
  <c r="V94" i="3"/>
  <c r="W94" i="3"/>
  <c r="A95" i="4"/>
  <c r="C93" i="3"/>
  <c r="T93" i="3"/>
  <c r="W93" i="3" s="1"/>
  <c r="S93" i="3"/>
  <c r="V93" i="3" s="1"/>
  <c r="F93" i="3"/>
  <c r="B93" i="3"/>
  <c r="E93" i="3" s="1"/>
  <c r="R93" i="3"/>
  <c r="U93" i="3" s="1"/>
  <c r="Y93" i="3" s="1"/>
  <c r="D93" i="3"/>
  <c r="G93" i="3" s="1"/>
  <c r="A94" i="4"/>
  <c r="S92" i="3"/>
  <c r="D92" i="3"/>
  <c r="T92" i="3"/>
  <c r="G92" i="3"/>
  <c r="C92" i="3"/>
  <c r="F92" i="3"/>
  <c r="B92" i="3"/>
  <c r="E92" i="3" s="1"/>
  <c r="V92" i="3"/>
  <c r="W92" i="3"/>
  <c r="R92" i="3"/>
  <c r="U92" i="3" s="1"/>
  <c r="A93" i="4"/>
  <c r="S91" i="3"/>
  <c r="D91" i="3"/>
  <c r="G91" i="3" s="1"/>
  <c r="B91" i="3"/>
  <c r="E91" i="3" s="1"/>
  <c r="V91" i="3"/>
  <c r="Y91" i="3" s="1"/>
  <c r="C91" i="3"/>
  <c r="F91" i="3" s="1"/>
  <c r="R91" i="3"/>
  <c r="T91" i="3"/>
  <c r="W91" i="3"/>
  <c r="U91" i="3"/>
  <c r="A92" i="4"/>
  <c r="S90" i="3"/>
  <c r="V90" i="3" s="1"/>
  <c r="B90" i="3"/>
  <c r="E90" i="3" s="1"/>
  <c r="C90" i="3"/>
  <c r="F90" i="3" s="1"/>
  <c r="D90" i="3"/>
  <c r="G90" i="3" s="1"/>
  <c r="T90" i="3"/>
  <c r="W90" i="3" s="1"/>
  <c r="R90" i="3"/>
  <c r="U90" i="3" s="1"/>
  <c r="B89" i="3"/>
  <c r="A91" i="4"/>
  <c r="C89" i="3"/>
  <c r="R89" i="3"/>
  <c r="D89" i="3"/>
  <c r="G89" i="3" s="1"/>
  <c r="E89" i="3"/>
  <c r="T89" i="3"/>
  <c r="W89" i="3" s="1"/>
  <c r="U89" i="3"/>
  <c r="F89" i="3"/>
  <c r="H89" i="3" s="1"/>
  <c r="S89" i="3"/>
  <c r="V89" i="3" s="1"/>
  <c r="Z89" i="3" s="1"/>
  <c r="A90" i="4"/>
  <c r="S88" i="3"/>
  <c r="V88" i="3" s="1"/>
  <c r="B88" i="3"/>
  <c r="E88" i="3" s="1"/>
  <c r="D88" i="3"/>
  <c r="G88" i="3" s="1"/>
  <c r="T88" i="3"/>
  <c r="W88" i="3" s="1"/>
  <c r="R88" i="3"/>
  <c r="U88" i="3" s="1"/>
  <c r="C88" i="3"/>
  <c r="F88" i="3" s="1"/>
  <c r="A89" i="4"/>
  <c r="C87" i="3"/>
  <c r="F87" i="3" s="1"/>
  <c r="R87" i="3"/>
  <c r="U87" i="3" s="1"/>
  <c r="B87" i="3"/>
  <c r="E87" i="3" s="1"/>
  <c r="D87" i="3"/>
  <c r="G87" i="3" s="1"/>
  <c r="T87" i="3"/>
  <c r="W87" i="3"/>
  <c r="S87" i="3"/>
  <c r="V87" i="3" s="1"/>
  <c r="A88" i="4"/>
  <c r="C86" i="3"/>
  <c r="S86" i="3"/>
  <c r="V86" i="3" s="1"/>
  <c r="F86" i="3"/>
  <c r="R86" i="3"/>
  <c r="U86" i="3" s="1"/>
  <c r="T86" i="3"/>
  <c r="W86" i="3" s="1"/>
  <c r="D86" i="3"/>
  <c r="B86" i="3"/>
  <c r="G86" i="3"/>
  <c r="E86" i="3"/>
  <c r="B85" i="3"/>
  <c r="C85" i="3"/>
  <c r="E85" i="3"/>
  <c r="F85" i="3"/>
  <c r="D85" i="3"/>
  <c r="G85" i="3" s="1"/>
  <c r="R84" i="3"/>
  <c r="U84" i="3"/>
  <c r="S84" i="3"/>
  <c r="V84" i="3" s="1"/>
  <c r="T84" i="3"/>
  <c r="W84" i="3" s="1"/>
  <c r="B84" i="3"/>
  <c r="C84" i="3"/>
  <c r="D84" i="3"/>
  <c r="E84" i="3"/>
  <c r="F84" i="3"/>
  <c r="G84" i="3"/>
  <c r="H84" i="3"/>
  <c r="I84" i="3"/>
  <c r="J84" i="3"/>
  <c r="T83" i="3"/>
  <c r="W83" i="3" s="1"/>
  <c r="S83" i="3"/>
  <c r="V83" i="3" s="1"/>
  <c r="R83" i="3"/>
  <c r="U83" i="3" s="1"/>
  <c r="D83" i="3"/>
  <c r="G83" i="3" s="1"/>
  <c r="C83" i="3"/>
  <c r="F83" i="3" s="1"/>
  <c r="B83" i="3"/>
  <c r="E83" i="3" s="1"/>
  <c r="A85" i="4"/>
  <c r="C82" i="3"/>
  <c r="F82" i="3" s="1"/>
  <c r="A84" i="4"/>
  <c r="T82" i="3"/>
  <c r="W82" i="3" s="1"/>
  <c r="S82" i="3"/>
  <c r="V82" i="3" s="1"/>
  <c r="R82" i="3"/>
  <c r="U82" i="3" s="1"/>
  <c r="D82" i="3"/>
  <c r="G82" i="3" s="1"/>
  <c r="B82" i="3"/>
  <c r="E82" i="3" s="1"/>
  <c r="B81" i="3"/>
  <c r="T81" i="3"/>
  <c r="S81" i="3"/>
  <c r="V81" i="3" s="1"/>
  <c r="W81" i="3"/>
  <c r="E81" i="3"/>
  <c r="D81" i="3"/>
  <c r="G81" i="3" s="1"/>
  <c r="C81" i="3"/>
  <c r="F81" i="3"/>
  <c r="H81" i="3" s="1"/>
  <c r="A83" i="4"/>
  <c r="R81" i="3"/>
  <c r="U81" i="3" s="1"/>
  <c r="S80" i="3"/>
  <c r="T80" i="3"/>
  <c r="W80" i="3" s="1"/>
  <c r="V80" i="3"/>
  <c r="D80" i="3"/>
  <c r="G80" i="3" s="1"/>
  <c r="R80" i="3"/>
  <c r="U80" i="3" s="1"/>
  <c r="B80" i="3"/>
  <c r="E80" i="3" s="1"/>
  <c r="A82" i="4"/>
  <c r="C80" i="3"/>
  <c r="F80" i="3" s="1"/>
  <c r="A81" i="4"/>
  <c r="D79" i="3"/>
  <c r="G79" i="3" s="1"/>
  <c r="C79" i="3"/>
  <c r="F79" i="3" s="1"/>
  <c r="B79" i="3"/>
  <c r="E79" i="3" s="1"/>
  <c r="T79" i="3"/>
  <c r="W79" i="3" s="1"/>
  <c r="S79" i="3"/>
  <c r="V79" i="3" s="1"/>
  <c r="R79" i="3"/>
  <c r="U79" i="3" s="1"/>
  <c r="A80" i="4"/>
  <c r="D78" i="3"/>
  <c r="G78" i="3" s="1"/>
  <c r="C78" i="3"/>
  <c r="F78" i="3" s="1"/>
  <c r="B78" i="3"/>
  <c r="E78" i="3" s="1"/>
  <c r="T78" i="3"/>
  <c r="W78" i="3" s="1"/>
  <c r="S78" i="3"/>
  <c r="V78" i="3" s="1"/>
  <c r="R78" i="3"/>
  <c r="U78" i="3" s="1"/>
  <c r="A79" i="4"/>
  <c r="D77" i="3"/>
  <c r="G77" i="3" s="1"/>
  <c r="C77" i="3"/>
  <c r="F77" i="3" s="1"/>
  <c r="B77" i="3"/>
  <c r="E77" i="3" s="1"/>
  <c r="T77" i="3"/>
  <c r="W77" i="3" s="1"/>
  <c r="S77" i="3"/>
  <c r="V77" i="3" s="1"/>
  <c r="R77" i="3"/>
  <c r="U77" i="3" s="1"/>
  <c r="D76" i="3"/>
  <c r="C76" i="3"/>
  <c r="B76" i="3"/>
  <c r="E76" i="3" s="1"/>
  <c r="A78" i="4"/>
  <c r="T76" i="3"/>
  <c r="W76" i="3" s="1"/>
  <c r="S76" i="3"/>
  <c r="V76" i="3" s="1"/>
  <c r="R76" i="3"/>
  <c r="U76" i="3" s="1"/>
  <c r="G76" i="3"/>
  <c r="F76" i="3"/>
  <c r="A77" i="4"/>
  <c r="D75" i="3"/>
  <c r="G75" i="3" s="1"/>
  <c r="C75" i="3"/>
  <c r="F75" i="3" s="1"/>
  <c r="B75" i="3"/>
  <c r="E75" i="3" s="1"/>
  <c r="T75" i="3"/>
  <c r="W75" i="3" s="1"/>
  <c r="S75" i="3"/>
  <c r="V75" i="3" s="1"/>
  <c r="R75" i="3"/>
  <c r="U75" i="3" s="1"/>
  <c r="A76" i="4"/>
  <c r="D74" i="3"/>
  <c r="C74" i="3"/>
  <c r="B74" i="3"/>
  <c r="T74" i="3"/>
  <c r="W74" i="3" s="1"/>
  <c r="S74" i="3"/>
  <c r="V74" i="3" s="1"/>
  <c r="R74" i="3"/>
  <c r="U74" i="3" s="1"/>
  <c r="G74" i="3"/>
  <c r="F74" i="3"/>
  <c r="E74" i="3"/>
  <c r="A75" i="4"/>
  <c r="C73" i="3"/>
  <c r="B73" i="3"/>
  <c r="T73" i="3"/>
  <c r="W73" i="3" s="1"/>
  <c r="S73" i="3"/>
  <c r="V73" i="3" s="1"/>
  <c r="R73" i="3"/>
  <c r="U73" i="3" s="1"/>
  <c r="F73" i="3"/>
  <c r="E73" i="3"/>
  <c r="D73" i="3"/>
  <c r="G73" i="3" s="1"/>
  <c r="A74" i="4"/>
  <c r="B72" i="3"/>
  <c r="T72" i="3"/>
  <c r="W72" i="3" s="1"/>
  <c r="S72" i="3"/>
  <c r="V72" i="3" s="1"/>
  <c r="R72" i="3"/>
  <c r="U72" i="3" s="1"/>
  <c r="E72" i="3"/>
  <c r="D72" i="3"/>
  <c r="G72" i="3" s="1"/>
  <c r="C72" i="3"/>
  <c r="F72" i="3" s="1"/>
  <c r="A73" i="4"/>
  <c r="T71" i="3"/>
  <c r="W71" i="3" s="1"/>
  <c r="S71" i="3"/>
  <c r="V71" i="3" s="1"/>
  <c r="R71" i="3"/>
  <c r="U71" i="3" s="1"/>
  <c r="D71" i="3"/>
  <c r="G71" i="3" s="1"/>
  <c r="C71" i="3"/>
  <c r="F71" i="3" s="1"/>
  <c r="B71" i="3"/>
  <c r="E71" i="3" s="1"/>
  <c r="R70" i="3"/>
  <c r="A72" i="4"/>
  <c r="U70" i="3"/>
  <c r="T70" i="3"/>
  <c r="W70" i="3" s="1"/>
  <c r="S70" i="3"/>
  <c r="V70" i="3" s="1"/>
  <c r="D70" i="3"/>
  <c r="G70" i="3" s="1"/>
  <c r="C70" i="3"/>
  <c r="F70" i="3" s="1"/>
  <c r="B70" i="3"/>
  <c r="E70" i="3" s="1"/>
  <c r="C69" i="3"/>
  <c r="D69" i="3"/>
  <c r="R69" i="3"/>
  <c r="F69" i="3"/>
  <c r="A71" i="4"/>
  <c r="G69" i="3"/>
  <c r="B69" i="3"/>
  <c r="E69" i="3" s="1"/>
  <c r="U69" i="3"/>
  <c r="T69" i="3"/>
  <c r="W69" i="3" s="1"/>
  <c r="S69" i="3"/>
  <c r="V69" i="3" s="1"/>
  <c r="A70" i="4"/>
  <c r="R68" i="3"/>
  <c r="T68" i="3"/>
  <c r="W68" i="3" s="1"/>
  <c r="U68" i="3"/>
  <c r="D68" i="3"/>
  <c r="G68" i="3" s="1"/>
  <c r="C68" i="3"/>
  <c r="F68" i="3" s="1"/>
  <c r="B68" i="3"/>
  <c r="E68" i="3" s="1"/>
  <c r="S68" i="3"/>
  <c r="V68" i="3" s="1"/>
  <c r="A69" i="4"/>
  <c r="T67" i="3"/>
  <c r="W67" i="3" s="1"/>
  <c r="B67" i="3"/>
  <c r="E67" i="3" s="1"/>
  <c r="C67" i="3"/>
  <c r="F67" i="3" s="1"/>
  <c r="D67" i="3"/>
  <c r="G67" i="3"/>
  <c r="R67" i="3"/>
  <c r="S67" i="3"/>
  <c r="U67" i="3"/>
  <c r="V67" i="3"/>
  <c r="A68" i="4"/>
  <c r="B66" i="3"/>
  <c r="C66" i="3"/>
  <c r="F66" i="3" s="1"/>
  <c r="D66" i="3"/>
  <c r="G66" i="3" s="1"/>
  <c r="E66" i="3"/>
  <c r="T65" i="3"/>
  <c r="S65" i="3"/>
  <c r="R65" i="3"/>
  <c r="A67" i="4"/>
  <c r="B65" i="3"/>
  <c r="W65" i="3"/>
  <c r="V65" i="3"/>
  <c r="U65" i="3"/>
  <c r="Z65" i="3"/>
  <c r="C65" i="3"/>
  <c r="F65" i="3"/>
  <c r="E65" i="3"/>
  <c r="D65" i="3"/>
  <c r="G65" i="3" s="1"/>
  <c r="R64" i="3"/>
  <c r="A66" i="4"/>
  <c r="T64" i="3"/>
  <c r="U64" i="3"/>
  <c r="W64" i="3"/>
  <c r="S64" i="3"/>
  <c r="V64" i="3" s="1"/>
  <c r="B64" i="3"/>
  <c r="E64" i="3" s="1"/>
  <c r="C64" i="3"/>
  <c r="F64" i="3" s="1"/>
  <c r="D64" i="3"/>
  <c r="G64" i="3" s="1"/>
  <c r="B63" i="3"/>
  <c r="E63" i="3" s="1"/>
  <c r="R63" i="3"/>
  <c r="S63" i="3"/>
  <c r="V63" i="3" s="1"/>
  <c r="T63" i="3"/>
  <c r="W63" i="3" s="1"/>
  <c r="U63" i="3"/>
  <c r="A65" i="4"/>
  <c r="C63" i="3"/>
  <c r="F63" i="3" s="1"/>
  <c r="D63" i="3"/>
  <c r="G63" i="3"/>
  <c r="R62" i="3"/>
  <c r="D62" i="3"/>
  <c r="A64" i="4"/>
  <c r="B62" i="3"/>
  <c r="S62" i="3"/>
  <c r="C62" i="3"/>
  <c r="T62" i="3"/>
  <c r="T61" i="3"/>
  <c r="C61" i="3"/>
  <c r="R61" i="3"/>
  <c r="D61" i="3"/>
  <c r="A63" i="4"/>
  <c r="S61" i="3"/>
  <c r="B61" i="3"/>
  <c r="D60" i="3"/>
  <c r="S60" i="3"/>
  <c r="C60" i="3"/>
  <c r="R60" i="3"/>
  <c r="B60" i="3"/>
  <c r="A62" i="4"/>
  <c r="T60" i="3"/>
  <c r="A61" i="4"/>
  <c r="C59" i="3"/>
  <c r="D59" i="3"/>
  <c r="R59" i="3"/>
  <c r="S59" i="3"/>
  <c r="B59" i="3"/>
  <c r="T59" i="3"/>
  <c r="R58" i="3"/>
  <c r="S58" i="3"/>
  <c r="T58" i="3"/>
  <c r="D58" i="3"/>
  <c r="C58" i="3"/>
  <c r="A60" i="4"/>
  <c r="B58" i="3"/>
  <c r="R57" i="3"/>
  <c r="B57" i="3"/>
  <c r="T57" i="3"/>
  <c r="C57" i="3"/>
  <c r="D57" i="3"/>
  <c r="A59" i="4"/>
  <c r="S57" i="3"/>
  <c r="C56" i="3"/>
  <c r="D56" i="3"/>
  <c r="R56" i="3"/>
  <c r="B56" i="3"/>
  <c r="A58" i="4"/>
  <c r="S56" i="3"/>
  <c r="T56" i="3"/>
  <c r="A57" i="4"/>
  <c r="D55" i="3"/>
  <c r="C55" i="3"/>
  <c r="B55" i="3"/>
  <c r="T55" i="3"/>
  <c r="S55" i="3"/>
  <c r="R55" i="3"/>
  <c r="T54" i="3"/>
  <c r="A56" i="4"/>
  <c r="B54" i="3"/>
  <c r="C54" i="3"/>
  <c r="D54" i="3"/>
  <c r="R54" i="3"/>
  <c r="S54" i="3"/>
  <c r="A55" i="4"/>
  <c r="D53" i="3"/>
  <c r="C53" i="3"/>
  <c r="B53" i="3"/>
  <c r="S53" i="3"/>
  <c r="T53" i="3"/>
  <c r="R53" i="3"/>
  <c r="A54" i="4"/>
  <c r="R52" i="3"/>
  <c r="B52" i="3"/>
  <c r="C52" i="3"/>
  <c r="D52" i="3"/>
  <c r="T52" i="3"/>
  <c r="S52" i="3"/>
  <c r="A53" i="4"/>
  <c r="B51" i="3"/>
  <c r="C51" i="3"/>
  <c r="D51" i="3"/>
  <c r="R51" i="3"/>
  <c r="S51" i="3"/>
  <c r="T51" i="3"/>
  <c r="T50" i="3"/>
  <c r="S50" i="3"/>
  <c r="B50" i="3"/>
  <c r="A52" i="4"/>
  <c r="R50" i="3"/>
  <c r="D50" i="3"/>
  <c r="C50" i="3"/>
  <c r="A51" i="4"/>
  <c r="T49" i="3"/>
  <c r="S49" i="3"/>
  <c r="R49" i="3"/>
  <c r="D49" i="3"/>
  <c r="C49" i="3"/>
  <c r="B49" i="3"/>
  <c r="A50" i="4"/>
  <c r="T48" i="3"/>
  <c r="S48" i="3"/>
  <c r="R48" i="3"/>
  <c r="D48" i="3"/>
  <c r="C48" i="3"/>
  <c r="B48" i="3"/>
  <c r="D47" i="3"/>
  <c r="C47" i="3"/>
  <c r="B47" i="3"/>
  <c r="B46" i="3"/>
  <c r="C46" i="3"/>
  <c r="D46" i="3"/>
  <c r="R46" i="3"/>
  <c r="S46" i="3"/>
  <c r="T46" i="3"/>
  <c r="R45" i="3"/>
  <c r="T45" i="3"/>
  <c r="B45" i="3"/>
  <c r="C45" i="3"/>
  <c r="D45" i="3"/>
  <c r="S45" i="3"/>
  <c r="C44" i="3"/>
  <c r="B44" i="3"/>
  <c r="A46" i="4"/>
  <c r="T44" i="3"/>
  <c r="S44" i="3"/>
  <c r="R44" i="3"/>
  <c r="D44" i="3"/>
  <c r="A45" i="4"/>
  <c r="R43" i="3"/>
  <c r="S43" i="3"/>
  <c r="T43" i="3"/>
  <c r="B43" i="3"/>
  <c r="C43" i="3"/>
  <c r="D43" i="3"/>
  <c r="D42" i="3"/>
  <c r="A44" i="4"/>
  <c r="R42" i="3"/>
  <c r="C42" i="3"/>
  <c r="B42" i="3"/>
  <c r="T42" i="3"/>
  <c r="S42" i="3"/>
  <c r="C41" i="3"/>
  <c r="A43" i="4"/>
  <c r="B41" i="3"/>
  <c r="D41" i="3"/>
  <c r="T41" i="3"/>
  <c r="S41" i="3"/>
  <c r="R41" i="3"/>
  <c r="A42" i="4"/>
  <c r="T40" i="3"/>
  <c r="S40" i="3"/>
  <c r="R40" i="3"/>
  <c r="D40" i="3"/>
  <c r="C40" i="3"/>
  <c r="B40" i="3"/>
  <c r="B39" i="3"/>
  <c r="C39" i="3"/>
  <c r="D39" i="3"/>
  <c r="A41" i="4"/>
  <c r="T39" i="3"/>
  <c r="S39" i="3"/>
  <c r="R39" i="3"/>
  <c r="C38" i="3"/>
  <c r="B38" i="3"/>
  <c r="A40" i="4"/>
  <c r="T38" i="3"/>
  <c r="S38" i="3"/>
  <c r="R38" i="3"/>
  <c r="D38" i="3"/>
  <c r="S37" i="3"/>
  <c r="B37" i="3"/>
  <c r="A39" i="4"/>
  <c r="R37" i="3"/>
  <c r="T37" i="3"/>
  <c r="D37" i="3"/>
  <c r="C37" i="3"/>
  <c r="A38" i="4"/>
  <c r="T36" i="3"/>
  <c r="S36" i="3"/>
  <c r="R36" i="3"/>
  <c r="D36" i="3"/>
  <c r="C36" i="3"/>
  <c r="B36" i="3"/>
  <c r="C35" i="3"/>
  <c r="A37" i="4"/>
  <c r="T35" i="3"/>
  <c r="S35" i="3"/>
  <c r="R35" i="3"/>
  <c r="D35" i="3"/>
  <c r="B35" i="3"/>
  <c r="A36" i="4"/>
  <c r="R34" i="3"/>
  <c r="S34" i="3"/>
  <c r="T34" i="3"/>
  <c r="D34" i="3"/>
  <c r="C34" i="3"/>
  <c r="B34" i="3"/>
  <c r="B33" i="3"/>
  <c r="C33" i="3"/>
  <c r="D33" i="3"/>
  <c r="A35" i="4"/>
  <c r="T33" i="3"/>
  <c r="S33" i="3"/>
  <c r="R33" i="3"/>
  <c r="B32" i="3"/>
  <c r="C32" i="3"/>
  <c r="D32" i="3"/>
  <c r="R32" i="3"/>
  <c r="S32" i="3"/>
  <c r="T32" i="3"/>
  <c r="A34" i="4"/>
  <c r="D31" i="3"/>
  <c r="C31" i="3"/>
  <c r="B31" i="3"/>
  <c r="R31" i="3"/>
  <c r="S31" i="3"/>
  <c r="T31" i="3"/>
  <c r="A33" i="4"/>
  <c r="T30" i="3"/>
  <c r="A32" i="4"/>
  <c r="R30" i="3"/>
  <c r="D30" i="3"/>
  <c r="B30" i="3"/>
  <c r="S30" i="3"/>
  <c r="C30" i="3"/>
  <c r="S29" i="3"/>
  <c r="A31" i="4"/>
  <c r="D29" i="3"/>
  <c r="B29" i="3"/>
  <c r="C29" i="3"/>
  <c r="R29" i="3"/>
  <c r="T29" i="3"/>
  <c r="A30" i="4"/>
  <c r="B28" i="3"/>
  <c r="A29" i="4"/>
  <c r="B27" i="3"/>
  <c r="R27" i="3"/>
  <c r="S27" i="3"/>
  <c r="T27" i="3"/>
  <c r="D27" i="3"/>
  <c r="C27" i="3"/>
  <c r="A28" i="4"/>
  <c r="D26" i="3"/>
  <c r="B26" i="3"/>
  <c r="C26" i="3"/>
  <c r="T26" i="3"/>
  <c r="S26" i="3"/>
  <c r="R26" i="3"/>
  <c r="C25" i="3"/>
  <c r="B25" i="3"/>
  <c r="R25" i="3"/>
  <c r="S25" i="3"/>
  <c r="T25" i="3"/>
  <c r="A27" i="4"/>
  <c r="D25" i="3"/>
  <c r="A26" i="4"/>
  <c r="D24" i="3"/>
  <c r="C24" i="3"/>
  <c r="B24" i="3"/>
  <c r="T24" i="3"/>
  <c r="S24" i="3"/>
  <c r="R24" i="3"/>
  <c r="A25" i="4"/>
  <c r="D23" i="3"/>
  <c r="T23" i="3"/>
  <c r="S23" i="3"/>
  <c r="R23" i="3"/>
  <c r="C23" i="3"/>
  <c r="B23" i="3"/>
  <c r="B22" i="3"/>
  <c r="A24" i="4"/>
  <c r="C22" i="3"/>
  <c r="D22" i="3"/>
  <c r="S22" i="3"/>
  <c r="T22" i="3"/>
  <c r="R22" i="3"/>
  <c r="A23" i="4"/>
  <c r="B21" i="3"/>
  <c r="C21" i="3"/>
  <c r="D21" i="3"/>
  <c r="T21" i="3"/>
  <c r="S21" i="3"/>
  <c r="R21" i="3"/>
  <c r="B20" i="3"/>
  <c r="A22" i="4"/>
  <c r="T20" i="3"/>
  <c r="S20" i="3"/>
  <c r="R20" i="3"/>
  <c r="D20" i="3"/>
  <c r="C20" i="3"/>
  <c r="A21" i="4"/>
  <c r="T19" i="3"/>
  <c r="S19" i="3"/>
  <c r="R19" i="3"/>
  <c r="D19" i="3"/>
  <c r="C19" i="3"/>
  <c r="B19" i="3"/>
  <c r="A20" i="4"/>
  <c r="B18" i="3"/>
  <c r="R18" i="3"/>
  <c r="D18" i="3"/>
  <c r="C18" i="3"/>
  <c r="A19" i="4"/>
  <c r="B17" i="3"/>
  <c r="T17" i="3"/>
  <c r="S17" i="3"/>
  <c r="R17" i="3"/>
  <c r="D17" i="3"/>
  <c r="C17" i="3"/>
  <c r="A18" i="4"/>
  <c r="C16" i="3"/>
  <c r="D16" i="3"/>
  <c r="B16" i="3"/>
  <c r="S16" i="3"/>
  <c r="R16" i="3"/>
  <c r="T16" i="3"/>
  <c r="A17" i="4"/>
  <c r="T15" i="3"/>
  <c r="S15" i="3"/>
  <c r="R15" i="3"/>
  <c r="D15" i="3"/>
  <c r="C15" i="3"/>
  <c r="B15" i="3"/>
  <c r="A16" i="4"/>
  <c r="T14" i="3"/>
  <c r="S14" i="3"/>
  <c r="R14" i="3"/>
  <c r="D14" i="3"/>
  <c r="C14" i="3"/>
  <c r="B14" i="3"/>
  <c r="A15" i="4"/>
  <c r="T13" i="3"/>
  <c r="S13" i="3"/>
  <c r="R13" i="3"/>
  <c r="D13" i="3"/>
  <c r="C13" i="3"/>
  <c r="B13" i="3"/>
  <c r="A14" i="4"/>
  <c r="T12" i="3"/>
  <c r="S12" i="3"/>
  <c r="R12" i="3"/>
  <c r="D12" i="3"/>
  <c r="C12" i="3"/>
  <c r="B12" i="3"/>
  <c r="A13" i="4"/>
  <c r="T11" i="3"/>
  <c r="S11" i="3"/>
  <c r="R11" i="3"/>
  <c r="B11" i="3"/>
  <c r="C11" i="3"/>
  <c r="D11" i="3"/>
  <c r="A12" i="4"/>
  <c r="D10" i="3"/>
  <c r="C10" i="3"/>
  <c r="B10" i="3"/>
  <c r="T10" i="3"/>
  <c r="S10" i="3"/>
  <c r="R10" i="3"/>
  <c r="A11" i="4"/>
  <c r="T9" i="3"/>
  <c r="S9" i="3"/>
  <c r="R9" i="3"/>
  <c r="C9" i="3"/>
  <c r="D9" i="3"/>
  <c r="B9" i="3"/>
  <c r="T8" i="3"/>
  <c r="S8" i="3"/>
  <c r="R8" i="3"/>
  <c r="D8" i="3"/>
  <c r="C8" i="3"/>
  <c r="B8" i="3"/>
  <c r="B7" i="3"/>
  <c r="T7" i="3"/>
  <c r="S7" i="3"/>
  <c r="R7" i="3"/>
  <c r="D7" i="3"/>
  <c r="C7" i="3"/>
  <c r="T6" i="3"/>
  <c r="R6" i="3"/>
  <c r="D6" i="3"/>
  <c r="C6" i="3"/>
  <c r="B6" i="3"/>
  <c r="S6" i="3"/>
  <c r="T5" i="3"/>
  <c r="S5" i="3"/>
  <c r="R5" i="3"/>
  <c r="D5" i="3"/>
  <c r="C5" i="3"/>
  <c r="B5" i="3"/>
  <c r="A6" i="4"/>
  <c r="T4" i="3"/>
  <c r="S4" i="3"/>
  <c r="R4" i="3"/>
  <c r="D4" i="3"/>
  <c r="C4" i="3"/>
  <c r="B4" i="3"/>
  <c r="A5" i="4"/>
  <c r="R3" i="3"/>
  <c r="S3" i="3"/>
  <c r="T3" i="3"/>
  <c r="D3" i="3"/>
  <c r="C3" i="3"/>
  <c r="B3" i="3"/>
  <c r="A4" i="4"/>
  <c r="T2" i="3"/>
  <c r="S2" i="3"/>
  <c r="R2" i="3"/>
  <c r="D2" i="3"/>
  <c r="C2" i="3"/>
  <c r="B2" i="3"/>
  <c r="C28" i="2"/>
  <c r="C27" i="2"/>
  <c r="B28" i="2"/>
  <c r="B27" i="2"/>
  <c r="B6" i="2"/>
  <c r="B7" i="2" s="1"/>
  <c r="K84" i="3" l="1"/>
  <c r="J89" i="3"/>
  <c r="I89" i="3"/>
  <c r="K89" i="3" s="1"/>
  <c r="P84" i="3"/>
  <c r="Z84" i="3"/>
  <c r="I81" i="3"/>
  <c r="K81" i="3" s="1"/>
  <c r="M81" i="3" s="1"/>
  <c r="Z67" i="3"/>
  <c r="H102" i="3"/>
  <c r="I102" i="3"/>
  <c r="J102" i="3"/>
  <c r="Z102" i="3"/>
  <c r="Y102" i="3"/>
  <c r="X102" i="3"/>
  <c r="AA102" i="3" s="1"/>
  <c r="I101" i="3"/>
  <c r="J101" i="3"/>
  <c r="H101" i="3"/>
  <c r="Y101" i="3"/>
  <c r="Z101" i="3"/>
  <c r="X101" i="3"/>
  <c r="AA101" i="3" s="1"/>
  <c r="Z100" i="3"/>
  <c r="Y100" i="3"/>
  <c r="X100" i="3"/>
  <c r="AA100" i="3" s="1"/>
  <c r="I100" i="3"/>
  <c r="H100" i="3"/>
  <c r="K100" i="3" s="1"/>
  <c r="I99" i="3"/>
  <c r="H99" i="3"/>
  <c r="K99" i="3" s="1"/>
  <c r="J99" i="3"/>
  <c r="Y99" i="3"/>
  <c r="Z99" i="3"/>
  <c r="X99" i="3"/>
  <c r="I98" i="3"/>
  <c r="J98" i="3"/>
  <c r="H98" i="3"/>
  <c r="K98" i="3" s="1"/>
  <c r="X98" i="3"/>
  <c r="Y98" i="3"/>
  <c r="Z98" i="3"/>
  <c r="X97" i="3"/>
  <c r="Y97" i="3"/>
  <c r="Z97" i="3"/>
  <c r="I97" i="3"/>
  <c r="H97" i="3"/>
  <c r="K97" i="3" s="1"/>
  <c r="J97" i="3"/>
  <c r="Z96" i="3"/>
  <c r="Y96" i="3"/>
  <c r="X96" i="3"/>
  <c r="AA96" i="3" s="1"/>
  <c r="H96" i="3"/>
  <c r="K96" i="3" s="1"/>
  <c r="J96" i="3"/>
  <c r="Y95" i="3"/>
  <c r="Z95" i="3"/>
  <c r="X95" i="3"/>
  <c r="AA95" i="3" s="1"/>
  <c r="H95" i="3"/>
  <c r="J95" i="3"/>
  <c r="I95" i="3"/>
  <c r="Y94" i="3"/>
  <c r="X94" i="3"/>
  <c r="AA94" i="3" s="1"/>
  <c r="Z94" i="3"/>
  <c r="J94" i="3"/>
  <c r="I94" i="3"/>
  <c r="H94" i="3"/>
  <c r="K94" i="3" s="1"/>
  <c r="X93" i="3"/>
  <c r="AA93" i="3" s="1"/>
  <c r="Z93" i="3"/>
  <c r="J93" i="3"/>
  <c r="H93" i="3"/>
  <c r="I93" i="3"/>
  <c r="Y67" i="3"/>
  <c r="X67" i="3"/>
  <c r="AA67" i="3" s="1"/>
  <c r="J67" i="3"/>
  <c r="I67" i="3"/>
  <c r="H67" i="3"/>
  <c r="K67" i="3" s="1"/>
  <c r="X85" i="3"/>
  <c r="Y85" i="3"/>
  <c r="Z85" i="3"/>
  <c r="Y66" i="3"/>
  <c r="Z66" i="3"/>
  <c r="X66" i="3"/>
  <c r="I92" i="3"/>
  <c r="J92" i="3"/>
  <c r="H92" i="3"/>
  <c r="K92" i="3" s="1"/>
  <c r="Z92" i="3"/>
  <c r="Y92" i="3"/>
  <c r="X92" i="3"/>
  <c r="AA92" i="3" s="1"/>
  <c r="J91" i="3"/>
  <c r="I91" i="3"/>
  <c r="H91" i="3"/>
  <c r="K91" i="3" s="1"/>
  <c r="Z91" i="3"/>
  <c r="X91" i="3"/>
  <c r="AA91" i="3" s="1"/>
  <c r="H90" i="3"/>
  <c r="I90" i="3"/>
  <c r="J90" i="3"/>
  <c r="Y90" i="3"/>
  <c r="X90" i="3"/>
  <c r="AA90" i="3" s="1"/>
  <c r="Z90" i="3"/>
  <c r="Y89" i="3"/>
  <c r="X89" i="3"/>
  <c r="AA89" i="3" s="1"/>
  <c r="Y88" i="3"/>
  <c r="Z88" i="3"/>
  <c r="X88" i="3"/>
  <c r="AA88" i="3" s="1"/>
  <c r="J88" i="3"/>
  <c r="I88" i="3"/>
  <c r="H88" i="3"/>
  <c r="K88" i="3" s="1"/>
  <c r="Z87" i="3"/>
  <c r="X87" i="3"/>
  <c r="Y87" i="3"/>
  <c r="J87" i="3"/>
  <c r="I87" i="3"/>
  <c r="H87" i="3"/>
  <c r="K87" i="3" s="1"/>
  <c r="Y86" i="3"/>
  <c r="Z86" i="3"/>
  <c r="X86" i="3"/>
  <c r="AA86" i="3" s="1"/>
  <c r="H86" i="3"/>
  <c r="I86" i="3"/>
  <c r="J86" i="3"/>
  <c r="I85" i="3"/>
  <c r="H85" i="3"/>
  <c r="Y84" i="3"/>
  <c r="X84" i="3"/>
  <c r="AA84" i="3" s="1"/>
  <c r="X83" i="3"/>
  <c r="Y83" i="3"/>
  <c r="Z83" i="3"/>
  <c r="H83" i="3"/>
  <c r="J83" i="3"/>
  <c r="I83" i="3"/>
  <c r="X82" i="3"/>
  <c r="Y82" i="3"/>
  <c r="Z82" i="3"/>
  <c r="H82" i="3"/>
  <c r="J82" i="3"/>
  <c r="I82" i="3"/>
  <c r="X81" i="3"/>
  <c r="Y81" i="3"/>
  <c r="Z81" i="3"/>
  <c r="Y80" i="3"/>
  <c r="X80" i="3"/>
  <c r="AA80" i="3" s="1"/>
  <c r="Z80" i="3"/>
  <c r="J80" i="3"/>
  <c r="I80" i="3"/>
  <c r="H80" i="3"/>
  <c r="K80" i="3" s="1"/>
  <c r="I79" i="3"/>
  <c r="H79" i="3"/>
  <c r="K79" i="3" s="1"/>
  <c r="J79" i="3"/>
  <c r="X79" i="3"/>
  <c r="Z79" i="3"/>
  <c r="Y79" i="3"/>
  <c r="H78" i="3"/>
  <c r="I78" i="3"/>
  <c r="J78" i="3"/>
  <c r="X78" i="3"/>
  <c r="Y78" i="3"/>
  <c r="Z78" i="3"/>
  <c r="H77" i="3"/>
  <c r="I77" i="3"/>
  <c r="J77" i="3"/>
  <c r="X77" i="3"/>
  <c r="Y77" i="3"/>
  <c r="Z77" i="3"/>
  <c r="H76" i="3"/>
  <c r="K76" i="3" s="1"/>
  <c r="I76" i="3"/>
  <c r="J76" i="3"/>
  <c r="X76" i="3"/>
  <c r="Y76" i="3"/>
  <c r="Z76" i="3"/>
  <c r="H75" i="3"/>
  <c r="I75" i="3"/>
  <c r="J75" i="3"/>
  <c r="X75" i="3"/>
  <c r="Y75" i="3"/>
  <c r="Z75" i="3"/>
  <c r="Y74" i="3"/>
  <c r="X74" i="3"/>
  <c r="Z74" i="3"/>
  <c r="J74" i="3"/>
  <c r="I74" i="3"/>
  <c r="H74" i="3"/>
  <c r="K74" i="3" s="1"/>
  <c r="Y73" i="3"/>
  <c r="X73" i="3"/>
  <c r="AA73" i="3" s="1"/>
  <c r="Z73" i="3"/>
  <c r="I73" i="3"/>
  <c r="J73" i="3"/>
  <c r="H73" i="3"/>
  <c r="K73" i="3" s="1"/>
  <c r="Y72" i="3"/>
  <c r="X72" i="3"/>
  <c r="Z72" i="3"/>
  <c r="H72" i="3"/>
  <c r="J72" i="3"/>
  <c r="I72" i="3"/>
  <c r="X71" i="3"/>
  <c r="Z71" i="3"/>
  <c r="Y71" i="3"/>
  <c r="H71" i="3"/>
  <c r="I71" i="3"/>
  <c r="J71" i="3"/>
  <c r="X70" i="3"/>
  <c r="Z70" i="3"/>
  <c r="Y70" i="3"/>
  <c r="H70" i="3"/>
  <c r="I70" i="3"/>
  <c r="J70" i="3"/>
  <c r="I69" i="3"/>
  <c r="J69" i="3"/>
  <c r="H69" i="3"/>
  <c r="K69" i="3" s="1"/>
  <c r="Z69" i="3"/>
  <c r="X69" i="3"/>
  <c r="Y69" i="3"/>
  <c r="J68" i="3"/>
  <c r="I68" i="3"/>
  <c r="H68" i="3"/>
  <c r="K68" i="3" s="1"/>
  <c r="Y68" i="3"/>
  <c r="X68" i="3"/>
  <c r="AA68" i="3" s="1"/>
  <c r="H66" i="3"/>
  <c r="J66" i="3"/>
  <c r="I66" i="3"/>
  <c r="Y65" i="3"/>
  <c r="X65" i="3"/>
  <c r="AA65" i="3" s="1"/>
  <c r="J65" i="3"/>
  <c r="I65" i="3"/>
  <c r="H65" i="3"/>
  <c r="X64" i="3"/>
  <c r="Y64" i="3"/>
  <c r="Z64" i="3"/>
  <c r="J64" i="3"/>
  <c r="I64" i="3"/>
  <c r="H64" i="3"/>
  <c r="K64" i="3" s="1"/>
  <c r="H63" i="3"/>
  <c r="J63" i="3"/>
  <c r="I63" i="3"/>
  <c r="X63" i="3"/>
  <c r="Y63" i="3"/>
  <c r="Z63" i="3"/>
  <c r="J85" i="3"/>
  <c r="Z68" i="3"/>
  <c r="J81" i="3"/>
  <c r="L91" i="3"/>
  <c r="N91" i="3" s="1"/>
  <c r="C8" i="2"/>
  <c r="C9" i="2"/>
  <c r="C14" i="2"/>
  <c r="C15" i="2" s="1"/>
  <c r="C23" i="2"/>
  <c r="C30" i="2"/>
  <c r="C33" i="2"/>
  <c r="B9" i="2"/>
  <c r="B8" i="2"/>
  <c r="K101" i="3" l="1"/>
  <c r="AA66" i="3"/>
  <c r="AA74" i="3"/>
  <c r="K65" i="3"/>
  <c r="M84" i="3"/>
  <c r="L84" i="3"/>
  <c r="N84" i="3" s="1"/>
  <c r="P91" i="3"/>
  <c r="M91" i="3"/>
  <c r="O91" i="3" s="1"/>
  <c r="AB84" i="3"/>
  <c r="AD84" i="3" s="1"/>
  <c r="AC84" i="3"/>
  <c r="AE84" i="3" s="1"/>
  <c r="K102" i="3"/>
  <c r="AA99" i="3"/>
  <c r="AA97" i="3"/>
  <c r="K95" i="3"/>
  <c r="AA72" i="3"/>
  <c r="AF72" i="3" s="1"/>
  <c r="AC94" i="3"/>
  <c r="AE94" i="3" s="1"/>
  <c r="AB94" i="3"/>
  <c r="AD94" i="3" s="1"/>
  <c r="L99" i="3"/>
  <c r="N99" i="3" s="1"/>
  <c r="P99" i="3"/>
  <c r="M99" i="3"/>
  <c r="O99" i="3" s="1"/>
  <c r="M96" i="3"/>
  <c r="L96" i="3"/>
  <c r="N96" i="3" s="1"/>
  <c r="P96" i="3"/>
  <c r="AA98" i="3"/>
  <c r="AF94" i="3"/>
  <c r="AF93" i="3"/>
  <c r="K93" i="3"/>
  <c r="AF84" i="3"/>
  <c r="P86" i="4" s="1"/>
  <c r="AA78" i="3"/>
  <c r="K77" i="3"/>
  <c r="AA77" i="3"/>
  <c r="AA64" i="3"/>
  <c r="K63" i="3"/>
  <c r="AA63" i="3"/>
  <c r="P101" i="3"/>
  <c r="P89" i="3"/>
  <c r="M89" i="3"/>
  <c r="L89" i="3"/>
  <c r="N89" i="3" s="1"/>
  <c r="P102" i="3"/>
  <c r="L102" i="3"/>
  <c r="N102" i="3" s="1"/>
  <c r="M102" i="3"/>
  <c r="O102" i="3" s="1"/>
  <c r="AF102" i="3"/>
  <c r="AB102" i="3"/>
  <c r="AD102" i="3" s="1"/>
  <c r="AC102" i="3"/>
  <c r="AE102" i="3" s="1"/>
  <c r="AF101" i="3"/>
  <c r="AB101" i="3"/>
  <c r="AD101" i="3" s="1"/>
  <c r="AC101" i="3"/>
  <c r="AE101" i="3" s="1"/>
  <c r="AF100" i="3"/>
  <c r="AB100" i="3"/>
  <c r="AD100" i="3" s="1"/>
  <c r="AC100" i="3"/>
  <c r="AE100" i="3" s="1"/>
  <c r="P100" i="3"/>
  <c r="L100" i="3"/>
  <c r="N100" i="3" s="1"/>
  <c r="M100" i="3"/>
  <c r="O100" i="3" s="1"/>
  <c r="P98" i="3"/>
  <c r="M98" i="3"/>
  <c r="L98" i="3"/>
  <c r="N98" i="3" s="1"/>
  <c r="P97" i="3"/>
  <c r="L97" i="3"/>
  <c r="N97" i="3" s="1"/>
  <c r="M97" i="3"/>
  <c r="O97" i="3" s="1"/>
  <c r="AF96" i="3"/>
  <c r="AB96" i="3"/>
  <c r="AD96" i="3" s="1"/>
  <c r="AC96" i="3"/>
  <c r="AE96" i="3" s="1"/>
  <c r="AF95" i="3"/>
  <c r="AC95" i="3"/>
  <c r="AB95" i="3"/>
  <c r="AD95" i="3" s="1"/>
  <c r="P94" i="3"/>
  <c r="L94" i="3"/>
  <c r="N94" i="3" s="1"/>
  <c r="M94" i="3"/>
  <c r="O94" i="3" s="1"/>
  <c r="AC93" i="3"/>
  <c r="AB93" i="3"/>
  <c r="AD93" i="3" s="1"/>
  <c r="AF67" i="3"/>
  <c r="AB67" i="3"/>
  <c r="AD67" i="3" s="1"/>
  <c r="AC67" i="3"/>
  <c r="AE67" i="3" s="1"/>
  <c r="P67" i="3"/>
  <c r="P69" i="4" s="1"/>
  <c r="M67" i="3"/>
  <c r="L67" i="3"/>
  <c r="N67" i="3" s="1"/>
  <c r="AF90" i="3"/>
  <c r="AB90" i="3"/>
  <c r="AD90" i="3" s="1"/>
  <c r="AC90" i="3"/>
  <c r="P87" i="3"/>
  <c r="M87" i="3"/>
  <c r="L87" i="3"/>
  <c r="N87" i="3" s="1"/>
  <c r="AF86" i="3"/>
  <c r="AC86" i="3"/>
  <c r="AB86" i="3"/>
  <c r="AD86" i="3" s="1"/>
  <c r="AF80" i="3"/>
  <c r="AC80" i="3"/>
  <c r="AB80" i="3"/>
  <c r="AD80" i="3" s="1"/>
  <c r="M79" i="3"/>
  <c r="L79" i="3"/>
  <c r="N79" i="3" s="1"/>
  <c r="P68" i="3"/>
  <c r="M68" i="3"/>
  <c r="L68" i="3"/>
  <c r="N68" i="3" s="1"/>
  <c r="P64" i="3"/>
  <c r="M64" i="3"/>
  <c r="L64" i="3"/>
  <c r="N64" i="3" s="1"/>
  <c r="M92" i="3"/>
  <c r="P92" i="3"/>
  <c r="L92" i="3"/>
  <c r="N92" i="3" s="1"/>
  <c r="AC92" i="3"/>
  <c r="AF92" i="3"/>
  <c r="AB92" i="3"/>
  <c r="AD92" i="3" s="1"/>
  <c r="AC91" i="3"/>
  <c r="AF91" i="3"/>
  <c r="AB91" i="3"/>
  <c r="AD91" i="3" s="1"/>
  <c r="AB89" i="3"/>
  <c r="AD89" i="3" s="1"/>
  <c r="AF89" i="3"/>
  <c r="AC89" i="3"/>
  <c r="AE89" i="3" s="1"/>
  <c r="AF88" i="3"/>
  <c r="AB88" i="3"/>
  <c r="AD88" i="3" s="1"/>
  <c r="AC88" i="3"/>
  <c r="AE88" i="3" s="1"/>
  <c r="P88" i="3"/>
  <c r="M88" i="3"/>
  <c r="L88" i="3"/>
  <c r="N88" i="3" s="1"/>
  <c r="M63" i="3"/>
  <c r="P63" i="3"/>
  <c r="L63" i="3"/>
  <c r="N63" i="3" s="1"/>
  <c r="AF63" i="3"/>
  <c r="AC63" i="3"/>
  <c r="AB63" i="3"/>
  <c r="AD63" i="3" s="1"/>
  <c r="AA85" i="3"/>
  <c r="K75" i="3"/>
  <c r="AA75" i="3"/>
  <c r="O64" i="3"/>
  <c r="AA83" i="3"/>
  <c r="K83" i="3"/>
  <c r="AA82" i="3"/>
  <c r="AA81" i="3"/>
  <c r="P79" i="3"/>
  <c r="AA79" i="3"/>
  <c r="K78" i="3"/>
  <c r="AA76" i="3"/>
  <c r="K72" i="3"/>
  <c r="AA71" i="3"/>
  <c r="K71" i="3"/>
  <c r="AA70" i="3"/>
  <c r="K70" i="3"/>
  <c r="AA69" i="3"/>
  <c r="AF68" i="3"/>
  <c r="K66" i="3"/>
  <c r="K85" i="3"/>
  <c r="O84" i="3"/>
  <c r="AA87" i="3"/>
  <c r="K82" i="3"/>
  <c r="K90" i="3"/>
  <c r="K86" i="3"/>
  <c r="P80" i="3"/>
  <c r="M80" i="3"/>
  <c r="L80" i="3"/>
  <c r="N80" i="3" s="1"/>
  <c r="P76" i="3"/>
  <c r="M76" i="3"/>
  <c r="L76" i="3"/>
  <c r="N76" i="3" s="1"/>
  <c r="AF74" i="3"/>
  <c r="AC74" i="3"/>
  <c r="AB74" i="3"/>
  <c r="AD74" i="3" s="1"/>
  <c r="P74" i="3"/>
  <c r="M74" i="3"/>
  <c r="L74" i="3"/>
  <c r="N74" i="3" s="1"/>
  <c r="AF73" i="3"/>
  <c r="AC73" i="3"/>
  <c r="AB73" i="3"/>
  <c r="AD73" i="3" s="1"/>
  <c r="P73" i="3"/>
  <c r="M73" i="3"/>
  <c r="L73" i="3"/>
  <c r="N73" i="3" s="1"/>
  <c r="AC72" i="3"/>
  <c r="AB72" i="3"/>
  <c r="AD72" i="3" s="1"/>
  <c r="P69" i="3"/>
  <c r="M69" i="3"/>
  <c r="L69" i="3"/>
  <c r="N69" i="3" s="1"/>
  <c r="AB68" i="3"/>
  <c r="AD68" i="3" s="1"/>
  <c r="AC68" i="3"/>
  <c r="AE68" i="3" s="1"/>
  <c r="AF65" i="3"/>
  <c r="AC65" i="3"/>
  <c r="AB65" i="3"/>
  <c r="AD65" i="3" s="1"/>
  <c r="P81" i="3"/>
  <c r="L81" i="3"/>
  <c r="N81" i="3" s="1"/>
  <c r="O81" i="3" s="1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47" i="3"/>
  <c r="C21" i="2"/>
  <c r="C16" i="2"/>
  <c r="C31" i="2"/>
  <c r="C17" i="2"/>
  <c r="C22" i="2"/>
  <c r="C32" i="2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7" i="3"/>
  <c r="U21" i="3"/>
  <c r="U22" i="3"/>
  <c r="U23" i="3"/>
  <c r="U24" i="3"/>
  <c r="U25" i="3"/>
  <c r="U26" i="3"/>
  <c r="U16" i="3"/>
  <c r="U19" i="3"/>
  <c r="U20" i="3"/>
  <c r="U27" i="3"/>
  <c r="U29" i="3"/>
  <c r="U30" i="3"/>
  <c r="U31" i="3"/>
  <c r="U32" i="3"/>
  <c r="C18" i="2"/>
  <c r="C35" i="2"/>
  <c r="U18" i="3"/>
  <c r="U28" i="3"/>
  <c r="B32" i="2"/>
  <c r="B22" i="2"/>
  <c r="B31" i="2"/>
  <c r="B21" i="2"/>
  <c r="B23" i="2"/>
  <c r="B30" i="2"/>
  <c r="B33" i="2"/>
  <c r="B14" i="2"/>
  <c r="O67" i="3" l="1"/>
  <c r="AE90" i="3"/>
  <c r="AE86" i="3"/>
  <c r="AE63" i="3"/>
  <c r="M101" i="3"/>
  <c r="L101" i="3"/>
  <c r="N101" i="3" s="1"/>
  <c r="AC66" i="3"/>
  <c r="AB66" i="3"/>
  <c r="AD66" i="3" s="1"/>
  <c r="AF66" i="3"/>
  <c r="P65" i="3"/>
  <c r="M65" i="3"/>
  <c r="L65" i="3"/>
  <c r="N65" i="3" s="1"/>
  <c r="AF99" i="3"/>
  <c r="AB99" i="3"/>
  <c r="AD99" i="3" s="1"/>
  <c r="AC99" i="3"/>
  <c r="AE99" i="3" s="1"/>
  <c r="AF97" i="3"/>
  <c r="AB97" i="3"/>
  <c r="AD97" i="3" s="1"/>
  <c r="AC97" i="3"/>
  <c r="AE97" i="3" s="1"/>
  <c r="P95" i="3"/>
  <c r="M95" i="3"/>
  <c r="O95" i="3" s="1"/>
  <c r="Q95" i="3" s="1"/>
  <c r="B97" i="4" s="1"/>
  <c r="L95" i="3"/>
  <c r="N95" i="3" s="1"/>
  <c r="O88" i="3"/>
  <c r="O96" i="3"/>
  <c r="P101" i="4"/>
  <c r="P98" i="4"/>
  <c r="AB98" i="3"/>
  <c r="AD98" i="3" s="1"/>
  <c r="AC98" i="3"/>
  <c r="AE98" i="3" s="1"/>
  <c r="AF98" i="3"/>
  <c r="P96" i="4"/>
  <c r="L93" i="3"/>
  <c r="N93" i="3" s="1"/>
  <c r="M93" i="3"/>
  <c r="O93" i="3" s="1"/>
  <c r="P93" i="3"/>
  <c r="P103" i="4"/>
  <c r="P104" i="4"/>
  <c r="P102" i="4"/>
  <c r="P99" i="4"/>
  <c r="P97" i="4"/>
  <c r="O89" i="3"/>
  <c r="Q89" i="3" s="1"/>
  <c r="B91" i="4" s="1"/>
  <c r="O98" i="3"/>
  <c r="Q98" i="3" s="1"/>
  <c r="B100" i="4" s="1"/>
  <c r="AE95" i="3"/>
  <c r="AG95" i="3" s="1"/>
  <c r="C97" i="4" s="1"/>
  <c r="AE93" i="3"/>
  <c r="AG93" i="3" s="1"/>
  <c r="C95" i="4" s="1"/>
  <c r="O87" i="3"/>
  <c r="Q87" i="3" s="1"/>
  <c r="B89" i="4" s="1"/>
  <c r="AE80" i="3"/>
  <c r="AG80" i="3" s="1"/>
  <c r="C82" i="4" s="1"/>
  <c r="O79" i="3"/>
  <c r="Q79" i="3" s="1"/>
  <c r="B81" i="4" s="1"/>
  <c r="O68" i="3"/>
  <c r="Q68" i="3" s="1"/>
  <c r="B70" i="4" s="1"/>
  <c r="AE91" i="3"/>
  <c r="AG91" i="3" s="1"/>
  <c r="C93" i="4" s="1"/>
  <c r="O74" i="3"/>
  <c r="Q74" i="3" s="1"/>
  <c r="B76" i="4" s="1"/>
  <c r="AE73" i="3"/>
  <c r="AG73" i="3" s="1"/>
  <c r="C75" i="4" s="1"/>
  <c r="AE65" i="3"/>
  <c r="AG65" i="3" s="1"/>
  <c r="C67" i="4" s="1"/>
  <c r="O65" i="3"/>
  <c r="Q65" i="3" s="1"/>
  <c r="B67" i="4" s="1"/>
  <c r="O101" i="3"/>
  <c r="AF78" i="3"/>
  <c r="AB78" i="3"/>
  <c r="AD78" i="3" s="1"/>
  <c r="AC78" i="3"/>
  <c r="AE78" i="3" s="1"/>
  <c r="P77" i="3"/>
  <c r="L77" i="3"/>
  <c r="N77" i="3" s="1"/>
  <c r="M77" i="3"/>
  <c r="AF77" i="3"/>
  <c r="AB77" i="3"/>
  <c r="AD77" i="3" s="1"/>
  <c r="AC77" i="3"/>
  <c r="AE77" i="3" s="1"/>
  <c r="AG77" i="3" s="1"/>
  <c r="C79" i="4" s="1"/>
  <c r="AF64" i="3"/>
  <c r="AC64" i="3"/>
  <c r="AB64" i="3"/>
  <c r="AD64" i="3" s="1"/>
  <c r="P94" i="4"/>
  <c r="P93" i="4"/>
  <c r="P91" i="4"/>
  <c r="P90" i="4"/>
  <c r="P65" i="4"/>
  <c r="AF85" i="3"/>
  <c r="AB85" i="3"/>
  <c r="AD85" i="3" s="1"/>
  <c r="AC85" i="3"/>
  <c r="AE85" i="3" s="1"/>
  <c r="L75" i="3"/>
  <c r="N75" i="3" s="1"/>
  <c r="M75" i="3"/>
  <c r="O75" i="3" s="1"/>
  <c r="P75" i="3"/>
  <c r="AB75" i="3"/>
  <c r="AD75" i="3" s="1"/>
  <c r="AC75" i="3"/>
  <c r="AE75" i="3" s="1"/>
  <c r="AF75" i="3"/>
  <c r="AG75" i="3" s="1"/>
  <c r="AC83" i="3"/>
  <c r="AB83" i="3"/>
  <c r="AD83" i="3" s="1"/>
  <c r="AF83" i="3"/>
  <c r="M83" i="3"/>
  <c r="L83" i="3"/>
  <c r="N83" i="3" s="1"/>
  <c r="P83" i="3"/>
  <c r="AB82" i="3"/>
  <c r="AD82" i="3" s="1"/>
  <c r="AC82" i="3"/>
  <c r="AF82" i="3"/>
  <c r="AB81" i="3"/>
  <c r="AD81" i="3" s="1"/>
  <c r="AC81" i="3"/>
  <c r="AE81" i="3" s="1"/>
  <c r="AF81" i="3"/>
  <c r="AB79" i="3"/>
  <c r="AD79" i="3" s="1"/>
  <c r="AC79" i="3"/>
  <c r="AE79" i="3" s="1"/>
  <c r="AF79" i="3"/>
  <c r="P78" i="3"/>
  <c r="M78" i="3"/>
  <c r="L78" i="3"/>
  <c r="N78" i="3" s="1"/>
  <c r="AC76" i="3"/>
  <c r="AB76" i="3"/>
  <c r="AD76" i="3" s="1"/>
  <c r="AF76" i="3"/>
  <c r="L72" i="3"/>
  <c r="N72" i="3" s="1"/>
  <c r="M72" i="3"/>
  <c r="O72" i="3" s="1"/>
  <c r="P72" i="3"/>
  <c r="Q72" i="3" s="1"/>
  <c r="AB71" i="3"/>
  <c r="AD71" i="3" s="1"/>
  <c r="AC71" i="3"/>
  <c r="AF71" i="3"/>
  <c r="L71" i="3"/>
  <c r="N71" i="3" s="1"/>
  <c r="M71" i="3"/>
  <c r="O71" i="3" s="1"/>
  <c r="P71" i="3"/>
  <c r="AB70" i="3"/>
  <c r="AD70" i="3" s="1"/>
  <c r="AC70" i="3"/>
  <c r="AE70" i="3" s="1"/>
  <c r="AF70" i="3"/>
  <c r="L70" i="3"/>
  <c r="N70" i="3" s="1"/>
  <c r="M70" i="3"/>
  <c r="O70" i="3" s="1"/>
  <c r="P70" i="3"/>
  <c r="AB69" i="3"/>
  <c r="AD69" i="3" s="1"/>
  <c r="AC69" i="3"/>
  <c r="AE69" i="3" s="1"/>
  <c r="AF69" i="3"/>
  <c r="AG69" i="3" s="1"/>
  <c r="P70" i="4"/>
  <c r="L66" i="3"/>
  <c r="N66" i="3" s="1"/>
  <c r="M66" i="3"/>
  <c r="P66" i="3"/>
  <c r="M85" i="3"/>
  <c r="L85" i="3"/>
  <c r="N85" i="3" s="1"/>
  <c r="P85" i="3"/>
  <c r="AC87" i="3"/>
  <c r="AB87" i="3"/>
  <c r="AD87" i="3" s="1"/>
  <c r="AF87" i="3"/>
  <c r="L82" i="3"/>
  <c r="N82" i="3" s="1"/>
  <c r="M82" i="3"/>
  <c r="O82" i="3" s="1"/>
  <c r="P82" i="3"/>
  <c r="L90" i="3"/>
  <c r="N90" i="3" s="1"/>
  <c r="M90" i="3"/>
  <c r="O90" i="3" s="1"/>
  <c r="P90" i="3"/>
  <c r="L86" i="3"/>
  <c r="N86" i="3" s="1"/>
  <c r="M86" i="3"/>
  <c r="O86" i="3" s="1"/>
  <c r="P86" i="3"/>
  <c r="Q86" i="3" s="1"/>
  <c r="P82" i="4"/>
  <c r="P76" i="4"/>
  <c r="P75" i="4"/>
  <c r="P67" i="4"/>
  <c r="AE66" i="3"/>
  <c r="AG66" i="3" s="1"/>
  <c r="C68" i="4" s="1"/>
  <c r="O92" i="3"/>
  <c r="Q92" i="3" s="1"/>
  <c r="B94" i="4" s="1"/>
  <c r="O63" i="3"/>
  <c r="Q63" i="3" s="1"/>
  <c r="B65" i="4" s="1"/>
  <c r="O80" i="3"/>
  <c r="O76" i="3"/>
  <c r="Q76" i="3" s="1"/>
  <c r="B78" i="4" s="1"/>
  <c r="AE74" i="3"/>
  <c r="AG74" i="3" s="1"/>
  <c r="C76" i="4" s="1"/>
  <c r="O73" i="3"/>
  <c r="Q73" i="3" s="1"/>
  <c r="B75" i="4" s="1"/>
  <c r="AE72" i="3"/>
  <c r="AG72" i="3" s="1"/>
  <c r="C74" i="4" s="1"/>
  <c r="O69" i="3"/>
  <c r="Q69" i="3" s="1"/>
  <c r="B71" i="4" s="1"/>
  <c r="AE92" i="3"/>
  <c r="AG92" i="3" s="1"/>
  <c r="C94" i="4" s="1"/>
  <c r="V62" i="3"/>
  <c r="V46" i="3"/>
  <c r="V61" i="3"/>
  <c r="V45" i="3"/>
  <c r="V60" i="3"/>
  <c r="V56" i="3"/>
  <c r="V59" i="3"/>
  <c r="V44" i="3"/>
  <c r="V58" i="3"/>
  <c r="V43" i="3"/>
  <c r="V42" i="3"/>
  <c r="V57" i="3"/>
  <c r="V41" i="3"/>
  <c r="V40" i="3"/>
  <c r="V55" i="3"/>
  <c r="V39" i="3"/>
  <c r="V54" i="3"/>
  <c r="V53" i="3"/>
  <c r="V35" i="3"/>
  <c r="V38" i="3"/>
  <c r="V52" i="3"/>
  <c r="V37" i="3"/>
  <c r="V51" i="3"/>
  <c r="V36" i="3"/>
  <c r="V34" i="3"/>
  <c r="V50" i="3"/>
  <c r="V33" i="3"/>
  <c r="V49" i="3"/>
  <c r="V47" i="3"/>
  <c r="V48" i="3"/>
  <c r="W62" i="3"/>
  <c r="W61" i="3"/>
  <c r="W59" i="3"/>
  <c r="W58" i="3"/>
  <c r="W57" i="3"/>
  <c r="W60" i="3"/>
  <c r="W55" i="3"/>
  <c r="W54" i="3"/>
  <c r="W53" i="3"/>
  <c r="W52" i="3"/>
  <c r="W42" i="3"/>
  <c r="W51" i="3"/>
  <c r="W50" i="3"/>
  <c r="W49" i="3"/>
  <c r="W48" i="3"/>
  <c r="W44" i="3"/>
  <c r="W41" i="3"/>
  <c r="W45" i="3"/>
  <c r="W37" i="3"/>
  <c r="W36" i="3"/>
  <c r="W40" i="3"/>
  <c r="W35" i="3"/>
  <c r="W38" i="3"/>
  <c r="W46" i="3"/>
  <c r="W34" i="3"/>
  <c r="W33" i="3"/>
  <c r="W39" i="3"/>
  <c r="W43" i="3"/>
  <c r="W47" i="3"/>
  <c r="W56" i="3"/>
  <c r="V2" i="3"/>
  <c r="X2" i="3" s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7" i="3"/>
  <c r="V21" i="3"/>
  <c r="V22" i="3"/>
  <c r="V23" i="3"/>
  <c r="V24" i="3"/>
  <c r="V25" i="3"/>
  <c r="V26" i="3"/>
  <c r="V16" i="3"/>
  <c r="V19" i="3"/>
  <c r="V20" i="3"/>
  <c r="V27" i="3"/>
  <c r="V29" i="3"/>
  <c r="V30" i="3"/>
  <c r="V31" i="3"/>
  <c r="V32" i="3"/>
  <c r="C19" i="2"/>
  <c r="C36" i="2"/>
  <c r="V18" i="3"/>
  <c r="V28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6" i="3"/>
  <c r="W19" i="3"/>
  <c r="W20" i="3"/>
  <c r="W21" i="3"/>
  <c r="W22" i="3"/>
  <c r="W23" i="3"/>
  <c r="W24" i="3"/>
  <c r="W25" i="3"/>
  <c r="W26" i="3"/>
  <c r="W15" i="3"/>
  <c r="W17" i="3"/>
  <c r="W27" i="3"/>
  <c r="W29" i="3"/>
  <c r="W30" i="3"/>
  <c r="W31" i="3"/>
  <c r="W32" i="3"/>
  <c r="C20" i="2"/>
  <c r="C37" i="2"/>
  <c r="W18" i="3"/>
  <c r="W28" i="3"/>
  <c r="AG100" i="3"/>
  <c r="C102" i="4" s="1"/>
  <c r="AG90" i="3"/>
  <c r="C92" i="4" s="1"/>
  <c r="AG88" i="3"/>
  <c r="C90" i="4" s="1"/>
  <c r="AG101" i="3"/>
  <c r="C103" i="4" s="1"/>
  <c r="AG94" i="3"/>
  <c r="C96" i="4" s="1"/>
  <c r="AG96" i="3"/>
  <c r="C98" i="4" s="1"/>
  <c r="AG98" i="3"/>
  <c r="AG86" i="3"/>
  <c r="C88" i="4" s="1"/>
  <c r="AG89" i="3"/>
  <c r="C91" i="4" s="1"/>
  <c r="AG68" i="3"/>
  <c r="C70" i="4" s="1"/>
  <c r="AG63" i="3"/>
  <c r="C65" i="4" s="1"/>
  <c r="AG81" i="3"/>
  <c r="AG84" i="3"/>
  <c r="C86" i="4" s="1"/>
  <c r="AG67" i="3"/>
  <c r="C69" i="4" s="1"/>
  <c r="AG97" i="3"/>
  <c r="C99" i="4" s="1"/>
  <c r="AG99" i="3"/>
  <c r="C101" i="4" s="1"/>
  <c r="AG102" i="3"/>
  <c r="C104" i="4" s="1"/>
  <c r="Q94" i="3"/>
  <c r="B96" i="4" s="1"/>
  <c r="Q64" i="3"/>
  <c r="B66" i="4" s="1"/>
  <c r="Q91" i="3"/>
  <c r="B93" i="4" s="1"/>
  <c r="Q97" i="3"/>
  <c r="B99" i="4" s="1"/>
  <c r="Q96" i="3"/>
  <c r="B98" i="4" s="1"/>
  <c r="Q88" i="3"/>
  <c r="B90" i="4" s="1"/>
  <c r="Q100" i="3"/>
  <c r="B102" i="4" s="1"/>
  <c r="Q99" i="3"/>
  <c r="B101" i="4" s="1"/>
  <c r="Q71" i="3"/>
  <c r="Q80" i="3"/>
  <c r="B82" i="4" s="1"/>
  <c r="Q81" i="3"/>
  <c r="B83" i="4" s="1"/>
  <c r="Q82" i="3"/>
  <c r="Q84" i="3"/>
  <c r="B86" i="4" s="1"/>
  <c r="Q67" i="3"/>
  <c r="B69" i="4" s="1"/>
  <c r="Q93" i="3"/>
  <c r="Q101" i="3"/>
  <c r="B103" i="4" s="1"/>
  <c r="Q102" i="3"/>
  <c r="B104" i="4" s="1"/>
  <c r="B15" i="2"/>
  <c r="B17" i="2"/>
  <c r="B16" i="2"/>
  <c r="AG78" i="3" l="1"/>
  <c r="C80" i="4" s="1"/>
  <c r="AG85" i="3"/>
  <c r="AE82" i="3"/>
  <c r="AG82" i="3" s="1"/>
  <c r="AE71" i="3"/>
  <c r="AG71" i="3" s="1"/>
  <c r="O66" i="3"/>
  <c r="O77" i="3"/>
  <c r="Q77" i="3" s="1"/>
  <c r="Q75" i="3"/>
  <c r="B77" i="4" s="1"/>
  <c r="Q70" i="3"/>
  <c r="AG70" i="3"/>
  <c r="X3" i="3"/>
  <c r="L101" i="4"/>
  <c r="D101" i="4"/>
  <c r="L98" i="4"/>
  <c r="D98" i="4"/>
  <c r="E98" i="4" s="1"/>
  <c r="P100" i="4"/>
  <c r="C100" i="4"/>
  <c r="B95" i="4"/>
  <c r="P95" i="4"/>
  <c r="L103" i="4"/>
  <c r="D103" i="4"/>
  <c r="L102" i="4"/>
  <c r="D102" i="4"/>
  <c r="L99" i="4"/>
  <c r="D99" i="4"/>
  <c r="L97" i="4"/>
  <c r="D97" i="4"/>
  <c r="O83" i="3"/>
  <c r="Q83" i="3" s="1"/>
  <c r="B85" i="4" s="1"/>
  <c r="AE64" i="3"/>
  <c r="AG64" i="3" s="1"/>
  <c r="C66" i="4" s="1"/>
  <c r="Q90" i="3"/>
  <c r="B92" i="4" s="1"/>
  <c r="Q66" i="3"/>
  <c r="B68" i="4" s="1"/>
  <c r="E99" i="4"/>
  <c r="F99" i="4"/>
  <c r="I99" i="4" s="1"/>
  <c r="B79" i="4"/>
  <c r="P79" i="4"/>
  <c r="P66" i="4"/>
  <c r="Y2" i="3"/>
  <c r="AA2" i="3" s="1"/>
  <c r="Z2" i="3"/>
  <c r="L96" i="4"/>
  <c r="D96" i="4"/>
  <c r="F98" i="4"/>
  <c r="I98" i="4" s="1"/>
  <c r="L100" i="4"/>
  <c r="D100" i="4"/>
  <c r="E101" i="4"/>
  <c r="F101" i="4"/>
  <c r="I101" i="4" s="1"/>
  <c r="F103" i="4"/>
  <c r="I103" i="4" s="1"/>
  <c r="E103" i="4"/>
  <c r="D104" i="4"/>
  <c r="L104" i="4"/>
  <c r="L94" i="4"/>
  <c r="D94" i="4"/>
  <c r="L90" i="4"/>
  <c r="D90" i="4"/>
  <c r="L65" i="4"/>
  <c r="D65" i="4"/>
  <c r="P77" i="4"/>
  <c r="P85" i="4"/>
  <c r="C83" i="4"/>
  <c r="P83" i="4"/>
  <c r="P80" i="4"/>
  <c r="P78" i="4"/>
  <c r="B74" i="4"/>
  <c r="P74" i="4"/>
  <c r="B73" i="4"/>
  <c r="P73" i="4"/>
  <c r="B72" i="4"/>
  <c r="P72" i="4"/>
  <c r="C71" i="4"/>
  <c r="P71" i="4"/>
  <c r="P68" i="4"/>
  <c r="P87" i="4"/>
  <c r="P89" i="4"/>
  <c r="B84" i="4"/>
  <c r="P84" i="4"/>
  <c r="P92" i="4"/>
  <c r="B88" i="4"/>
  <c r="P88" i="4"/>
  <c r="L82" i="4"/>
  <c r="D82" i="4"/>
  <c r="L76" i="4"/>
  <c r="D76" i="4"/>
  <c r="L75" i="4"/>
  <c r="D75" i="4"/>
  <c r="F75" i="4" s="1"/>
  <c r="I75" i="4" s="1"/>
  <c r="L67" i="4"/>
  <c r="D67" i="4"/>
  <c r="C87" i="4"/>
  <c r="C77" i="4"/>
  <c r="AE83" i="3"/>
  <c r="AG83" i="3" s="1"/>
  <c r="C85" i="4" s="1"/>
  <c r="C73" i="4"/>
  <c r="C84" i="4"/>
  <c r="O78" i="3"/>
  <c r="Q78" i="3" s="1"/>
  <c r="B80" i="4" s="1"/>
  <c r="AE76" i="3"/>
  <c r="AG76" i="3" s="1"/>
  <c r="C78" i="4" s="1"/>
  <c r="C72" i="4"/>
  <c r="O85" i="3"/>
  <c r="Q85" i="3" s="1"/>
  <c r="B87" i="4" s="1"/>
  <c r="AE87" i="3"/>
  <c r="AG87" i="3" s="1"/>
  <c r="C89" i="4" s="1"/>
  <c r="P81" i="4"/>
  <c r="AG79" i="3"/>
  <c r="C81" i="4" s="1"/>
  <c r="E76" i="4"/>
  <c r="F76" i="4"/>
  <c r="I76" i="4" s="1"/>
  <c r="F65" i="4"/>
  <c r="I65" i="4" s="1"/>
  <c r="E65" i="4"/>
  <c r="E75" i="4"/>
  <c r="Y3" i="3"/>
  <c r="Z3" i="3"/>
  <c r="L93" i="4"/>
  <c r="D93" i="4"/>
  <c r="L70" i="4"/>
  <c r="D70" i="4"/>
  <c r="L91" i="4"/>
  <c r="D91" i="4"/>
  <c r="L86" i="4"/>
  <c r="D86" i="4"/>
  <c r="L69" i="4"/>
  <c r="D69" i="4"/>
  <c r="Y12" i="3"/>
  <c r="Y13" i="3"/>
  <c r="Y11" i="3"/>
  <c r="X11" i="3"/>
  <c r="Z8" i="3"/>
  <c r="Z58" i="3"/>
  <c r="X58" i="3"/>
  <c r="Y58" i="3"/>
  <c r="X57" i="3"/>
  <c r="Y57" i="3"/>
  <c r="Z57" i="3"/>
  <c r="Y55" i="3"/>
  <c r="X55" i="3"/>
  <c r="AA55" i="3" s="1"/>
  <c r="Z55" i="3"/>
  <c r="Y54" i="3"/>
  <c r="X54" i="3"/>
  <c r="AA54" i="3" s="1"/>
  <c r="Z54" i="3"/>
  <c r="X53" i="3"/>
  <c r="Y53" i="3"/>
  <c r="Z53" i="3"/>
  <c r="X35" i="3"/>
  <c r="Z35" i="3"/>
  <c r="Y35" i="3"/>
  <c r="X52" i="3"/>
  <c r="Y52" i="3"/>
  <c r="Z52" i="3"/>
  <c r="Y34" i="3"/>
  <c r="Z34" i="3"/>
  <c r="X34" i="3"/>
  <c r="AA34" i="3" s="1"/>
  <c r="Y33" i="3"/>
  <c r="X33" i="3"/>
  <c r="Z33" i="3"/>
  <c r="X47" i="3"/>
  <c r="Z47" i="3"/>
  <c r="Y47" i="3"/>
  <c r="Y4" i="3"/>
  <c r="Z4" i="3"/>
  <c r="X4" i="3"/>
  <c r="Y5" i="3"/>
  <c r="Z5" i="3"/>
  <c r="X5" i="3"/>
  <c r="AA5" i="3" s="1"/>
  <c r="X6" i="3"/>
  <c r="Y6" i="3"/>
  <c r="Z6" i="3"/>
  <c r="Y7" i="3"/>
  <c r="X7" i="3"/>
  <c r="AA7" i="3" s="1"/>
  <c r="Z7" i="3"/>
  <c r="X8" i="3"/>
  <c r="Y8" i="3"/>
  <c r="Y14" i="3"/>
  <c r="X14" i="3"/>
  <c r="Y62" i="3"/>
  <c r="Z62" i="3"/>
  <c r="X62" i="3"/>
  <c r="Z46" i="3"/>
  <c r="Y46" i="3"/>
  <c r="X46" i="3"/>
  <c r="AA46" i="3" s="1"/>
  <c r="X61" i="3"/>
  <c r="Z61" i="3"/>
  <c r="Y61" i="3"/>
  <c r="Z45" i="3"/>
  <c r="Y45" i="3"/>
  <c r="X45" i="3"/>
  <c r="Z60" i="3"/>
  <c r="X60" i="3"/>
  <c r="Y60" i="3"/>
  <c r="X56" i="3"/>
  <c r="Z56" i="3"/>
  <c r="Y56" i="3"/>
  <c r="X59" i="3"/>
  <c r="Z59" i="3"/>
  <c r="Y59" i="3"/>
  <c r="Z44" i="3"/>
  <c r="Y44" i="3"/>
  <c r="X44" i="3"/>
  <c r="Z43" i="3"/>
  <c r="Y43" i="3"/>
  <c r="X43" i="3"/>
  <c r="X42" i="3"/>
  <c r="Z42" i="3"/>
  <c r="Y42" i="3"/>
  <c r="Y41" i="3"/>
  <c r="X41" i="3"/>
  <c r="AA41" i="3" s="1"/>
  <c r="Z41" i="3"/>
  <c r="X40" i="3"/>
  <c r="Z40" i="3"/>
  <c r="Y40" i="3"/>
  <c r="Z39" i="3"/>
  <c r="Y39" i="3"/>
  <c r="X39" i="3"/>
  <c r="X38" i="3"/>
  <c r="Z38" i="3"/>
  <c r="Y38" i="3"/>
  <c r="Z37" i="3"/>
  <c r="X37" i="3"/>
  <c r="Y37" i="3"/>
  <c r="Y51" i="3"/>
  <c r="X51" i="3"/>
  <c r="AA51" i="3" s="1"/>
  <c r="Z51" i="3"/>
  <c r="Z36" i="3"/>
  <c r="X36" i="3"/>
  <c r="Y36" i="3"/>
  <c r="X50" i="3"/>
  <c r="Z50" i="3"/>
  <c r="Y50" i="3"/>
  <c r="Z49" i="3"/>
  <c r="X49" i="3"/>
  <c r="Y49" i="3"/>
  <c r="Z48" i="3"/>
  <c r="X48" i="3"/>
  <c r="Y48" i="3"/>
  <c r="E46" i="3"/>
  <c r="E39" i="3"/>
  <c r="E62" i="3"/>
  <c r="E40" i="3"/>
  <c r="E61" i="3"/>
  <c r="E51" i="3"/>
  <c r="E49" i="3"/>
  <c r="E60" i="3"/>
  <c r="E41" i="3"/>
  <c r="E59" i="3"/>
  <c r="E37" i="3"/>
  <c r="E47" i="3"/>
  <c r="E42" i="3"/>
  <c r="E53" i="3"/>
  <c r="E58" i="3"/>
  <c r="E57" i="3"/>
  <c r="E43" i="3"/>
  <c r="E52" i="3"/>
  <c r="E44" i="3"/>
  <c r="E48" i="3"/>
  <c r="E56" i="3"/>
  <c r="E50" i="3"/>
  <c r="E45" i="3"/>
  <c r="E55" i="3"/>
  <c r="E54" i="3"/>
  <c r="E38" i="3"/>
  <c r="E36" i="3"/>
  <c r="E35" i="3"/>
  <c r="E34" i="3"/>
  <c r="E33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62" i="3"/>
  <c r="G38" i="3"/>
  <c r="G33" i="3"/>
  <c r="G37" i="3"/>
  <c r="G36" i="3"/>
  <c r="G61" i="3"/>
  <c r="G35" i="3"/>
  <c r="G60" i="3"/>
  <c r="G34" i="3"/>
  <c r="G59" i="3"/>
  <c r="G58" i="3"/>
  <c r="F49" i="3"/>
  <c r="F42" i="3"/>
  <c r="F58" i="3"/>
  <c r="F59" i="3"/>
  <c r="F60" i="3"/>
  <c r="F47" i="3"/>
  <c r="F33" i="3"/>
  <c r="F53" i="3"/>
  <c r="F40" i="3"/>
  <c r="F61" i="3"/>
  <c r="F62" i="3"/>
  <c r="F39" i="3"/>
  <c r="F54" i="3"/>
  <c r="F38" i="3"/>
  <c r="F46" i="3"/>
  <c r="F51" i="3"/>
  <c r="F55" i="3"/>
  <c r="F45" i="3"/>
  <c r="F37" i="3"/>
  <c r="F50" i="3"/>
  <c r="F36" i="3"/>
  <c r="F44" i="3"/>
  <c r="F35" i="3"/>
  <c r="F56" i="3"/>
  <c r="F48" i="3"/>
  <c r="F57" i="3"/>
  <c r="F34" i="3"/>
  <c r="F43" i="3"/>
  <c r="F52" i="3"/>
  <c r="F41" i="3"/>
  <c r="X23" i="3"/>
  <c r="X22" i="3"/>
  <c r="X30" i="3"/>
  <c r="X15" i="3"/>
  <c r="Y15" i="3"/>
  <c r="Z15" i="3"/>
  <c r="X17" i="3"/>
  <c r="Z17" i="3"/>
  <c r="Y17" i="3"/>
  <c r="Y21" i="3"/>
  <c r="X21" i="3"/>
  <c r="AA21" i="3" s="1"/>
  <c r="Z21" i="3"/>
  <c r="Y22" i="3"/>
  <c r="Z22" i="3"/>
  <c r="E3" i="3"/>
  <c r="E4" i="3"/>
  <c r="E5" i="3"/>
  <c r="E6" i="3"/>
  <c r="E7" i="3"/>
  <c r="E2" i="3"/>
  <c r="E8" i="3"/>
  <c r="E9" i="3"/>
  <c r="E10" i="3"/>
  <c r="E11" i="3"/>
  <c r="E12" i="3"/>
  <c r="E13" i="3"/>
  <c r="E16" i="3"/>
  <c r="E18" i="3"/>
  <c r="E21" i="3"/>
  <c r="E22" i="3"/>
  <c r="E23" i="3"/>
  <c r="E24" i="3"/>
  <c r="E25" i="3"/>
  <c r="E14" i="3"/>
  <c r="E15" i="3"/>
  <c r="E17" i="3"/>
  <c r="E19" i="3"/>
  <c r="E20" i="3"/>
  <c r="E26" i="3"/>
  <c r="E27" i="3"/>
  <c r="E29" i="3"/>
  <c r="E30" i="3"/>
  <c r="E31" i="3"/>
  <c r="E32" i="3"/>
  <c r="B18" i="2"/>
  <c r="E28" i="3"/>
  <c r="B35" i="2"/>
  <c r="G28" i="3"/>
  <c r="B37" i="2"/>
  <c r="B20" i="2"/>
  <c r="G32" i="3"/>
  <c r="G31" i="3"/>
  <c r="G30" i="3"/>
  <c r="G29" i="3"/>
  <c r="G27" i="3"/>
  <c r="G26" i="3"/>
  <c r="G20" i="3"/>
  <c r="G19" i="3"/>
  <c r="G17" i="3"/>
  <c r="G15" i="3"/>
  <c r="G25" i="3"/>
  <c r="G24" i="3"/>
  <c r="G23" i="3"/>
  <c r="G22" i="3"/>
  <c r="G21" i="3"/>
  <c r="G18" i="3"/>
  <c r="G16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28" i="3"/>
  <c r="B36" i="2"/>
  <c r="B19" i="2"/>
  <c r="F32" i="3"/>
  <c r="F31" i="3"/>
  <c r="F30" i="3"/>
  <c r="F29" i="3"/>
  <c r="F27" i="3"/>
  <c r="F26" i="3"/>
  <c r="F18" i="3"/>
  <c r="F16" i="3"/>
  <c r="F14" i="3"/>
  <c r="F25" i="3"/>
  <c r="F24" i="3"/>
  <c r="F23" i="3"/>
  <c r="F22" i="3"/>
  <c r="F21" i="3"/>
  <c r="F20" i="3"/>
  <c r="F19" i="3"/>
  <c r="F17" i="3"/>
  <c r="F15" i="3"/>
  <c r="F13" i="3"/>
  <c r="F12" i="3"/>
  <c r="F11" i="3"/>
  <c r="F10" i="3"/>
  <c r="F9" i="3"/>
  <c r="F8" i="3"/>
  <c r="F2" i="3"/>
  <c r="F7" i="3"/>
  <c r="F6" i="3"/>
  <c r="F5" i="3"/>
  <c r="F4" i="3"/>
  <c r="F3" i="3"/>
  <c r="X31" i="3"/>
  <c r="Y31" i="3"/>
  <c r="Z31" i="3"/>
  <c r="X32" i="3"/>
  <c r="Y32" i="3"/>
  <c r="Z32" i="3"/>
  <c r="X25" i="3"/>
  <c r="X26" i="3"/>
  <c r="X24" i="3"/>
  <c r="C38" i="2"/>
  <c r="C39" i="2"/>
  <c r="C40" i="2"/>
  <c r="Y18" i="3"/>
  <c r="X18" i="3"/>
  <c r="Z18" i="3"/>
  <c r="X28" i="3"/>
  <c r="Y28" i="3"/>
  <c r="Z28" i="3"/>
  <c r="X9" i="3"/>
  <c r="Y9" i="3"/>
  <c r="Z9" i="3"/>
  <c r="X10" i="3"/>
  <c r="Y10" i="3"/>
  <c r="Z10" i="3"/>
  <c r="Z16" i="3"/>
  <c r="Y16" i="3"/>
  <c r="X16" i="3"/>
  <c r="Y19" i="3"/>
  <c r="Z19" i="3"/>
  <c r="X19" i="3"/>
  <c r="X20" i="3"/>
  <c r="Y20" i="3"/>
  <c r="Z20" i="3"/>
  <c r="Z23" i="3"/>
  <c r="Y23" i="3"/>
  <c r="Z24" i="3"/>
  <c r="Y24" i="3"/>
  <c r="Y25" i="3"/>
  <c r="Z25" i="3"/>
  <c r="Z26" i="3"/>
  <c r="Y26" i="3"/>
  <c r="Z27" i="3"/>
  <c r="Y27" i="3"/>
  <c r="X27" i="3"/>
  <c r="AA27" i="3" s="1"/>
  <c r="Z29" i="3"/>
  <c r="X29" i="3"/>
  <c r="Y29" i="3"/>
  <c r="Y30" i="3"/>
  <c r="Z30" i="3"/>
  <c r="Z12" i="3"/>
  <c r="X12" i="3"/>
  <c r="Z11" i="3"/>
  <c r="Z14" i="3"/>
  <c r="Z13" i="3"/>
  <c r="X13" i="3"/>
  <c r="AA3" i="3" l="1"/>
  <c r="AA39" i="3"/>
  <c r="E97" i="4"/>
  <c r="F97" i="4"/>
  <c r="I97" i="4" s="1"/>
  <c r="E96" i="4"/>
  <c r="F96" i="4"/>
  <c r="I96" i="4" s="1"/>
  <c r="N101" i="4"/>
  <c r="M101" i="4"/>
  <c r="N98" i="4"/>
  <c r="M98" i="4"/>
  <c r="L95" i="4"/>
  <c r="D95" i="4"/>
  <c r="N103" i="4"/>
  <c r="M103" i="4"/>
  <c r="N102" i="4"/>
  <c r="M102" i="4"/>
  <c r="N99" i="4"/>
  <c r="M99" i="4"/>
  <c r="N97" i="4"/>
  <c r="M97" i="4"/>
  <c r="N96" i="4"/>
  <c r="M96" i="4"/>
  <c r="N100" i="4"/>
  <c r="M100" i="4"/>
  <c r="N104" i="4"/>
  <c r="M104" i="4"/>
  <c r="AA45" i="3"/>
  <c r="G98" i="4"/>
  <c r="H98" i="4"/>
  <c r="F102" i="4"/>
  <c r="I102" i="4" s="1"/>
  <c r="E102" i="4"/>
  <c r="H99" i="4"/>
  <c r="G99" i="4"/>
  <c r="L79" i="4"/>
  <c r="D79" i="4"/>
  <c r="D66" i="4"/>
  <c r="L66" i="4"/>
  <c r="H96" i="4"/>
  <c r="G96" i="4"/>
  <c r="F100" i="4"/>
  <c r="I100" i="4" s="1"/>
  <c r="E100" i="4"/>
  <c r="G101" i="4"/>
  <c r="H101" i="4"/>
  <c r="G103" i="4"/>
  <c r="H103" i="4"/>
  <c r="E104" i="4"/>
  <c r="F104" i="4"/>
  <c r="I104" i="4" s="1"/>
  <c r="E94" i="4"/>
  <c r="F94" i="4"/>
  <c r="I94" i="4" s="1"/>
  <c r="E90" i="4"/>
  <c r="F90" i="4"/>
  <c r="I90" i="4" s="1"/>
  <c r="L83" i="4"/>
  <c r="D83" i="4"/>
  <c r="E82" i="4"/>
  <c r="F82" i="4"/>
  <c r="I82" i="4" s="1"/>
  <c r="F67" i="4"/>
  <c r="I67" i="4" s="1"/>
  <c r="E67" i="4"/>
  <c r="E91" i="4"/>
  <c r="F91" i="4"/>
  <c r="I91" i="4" s="1"/>
  <c r="N94" i="4"/>
  <c r="M94" i="4"/>
  <c r="M90" i="4"/>
  <c r="N90" i="4"/>
  <c r="M65" i="4"/>
  <c r="N65" i="4"/>
  <c r="L77" i="4"/>
  <c r="D77" i="4"/>
  <c r="L85" i="4"/>
  <c r="D85" i="4"/>
  <c r="L80" i="4"/>
  <c r="D80" i="4"/>
  <c r="L74" i="4"/>
  <c r="D74" i="4"/>
  <c r="L73" i="4"/>
  <c r="D73" i="4"/>
  <c r="L72" i="4"/>
  <c r="D72" i="4"/>
  <c r="L68" i="4"/>
  <c r="D68" i="4"/>
  <c r="L87" i="4"/>
  <c r="D87" i="4"/>
  <c r="L84" i="4"/>
  <c r="D84" i="4"/>
  <c r="D92" i="4"/>
  <c r="L92" i="4"/>
  <c r="L88" i="4"/>
  <c r="D88" i="4"/>
  <c r="N82" i="4"/>
  <c r="M82" i="4"/>
  <c r="N76" i="4"/>
  <c r="M76" i="4"/>
  <c r="N75" i="4"/>
  <c r="M75" i="4"/>
  <c r="N67" i="4"/>
  <c r="M67" i="4"/>
  <c r="N93" i="4"/>
  <c r="M93" i="4"/>
  <c r="N70" i="4"/>
  <c r="M70" i="4"/>
  <c r="M91" i="4"/>
  <c r="N91" i="4"/>
  <c r="N86" i="4"/>
  <c r="M86" i="4"/>
  <c r="N69" i="4"/>
  <c r="M69" i="4"/>
  <c r="AA11" i="3"/>
  <c r="AA4" i="3"/>
  <c r="D71" i="4"/>
  <c r="L71" i="4"/>
  <c r="D78" i="4"/>
  <c r="L78" i="4"/>
  <c r="L89" i="4"/>
  <c r="D89" i="4"/>
  <c r="L81" i="4"/>
  <c r="D81" i="4"/>
  <c r="E81" i="4"/>
  <c r="F81" i="4"/>
  <c r="I81" i="4" s="1"/>
  <c r="H76" i="4"/>
  <c r="G76" i="4"/>
  <c r="H65" i="4"/>
  <c r="G65" i="4"/>
  <c r="H75" i="4"/>
  <c r="G75" i="4"/>
  <c r="F66" i="4"/>
  <c r="I66" i="4" s="1"/>
  <c r="E66" i="4"/>
  <c r="E93" i="4"/>
  <c r="F93" i="4"/>
  <c r="I93" i="4" s="1"/>
  <c r="F70" i="4"/>
  <c r="I70" i="4" s="1"/>
  <c r="E70" i="4"/>
  <c r="F86" i="4"/>
  <c r="I86" i="4" s="1"/>
  <c r="E86" i="4"/>
  <c r="F69" i="4"/>
  <c r="I69" i="4" s="1"/>
  <c r="E69" i="4"/>
  <c r="AA18" i="3"/>
  <c r="AA8" i="3"/>
  <c r="AA62" i="3"/>
  <c r="AA35" i="3"/>
  <c r="AA6" i="3"/>
  <c r="AA13" i="3"/>
  <c r="AA33" i="3"/>
  <c r="AA53" i="3"/>
  <c r="AA57" i="3"/>
  <c r="AC57" i="3" s="1"/>
  <c r="AA12" i="3"/>
  <c r="AA44" i="3"/>
  <c r="AA43" i="3"/>
  <c r="AB43" i="3" s="1"/>
  <c r="AD43" i="3" s="1"/>
  <c r="AA15" i="3"/>
  <c r="AA19" i="3"/>
  <c r="AA58" i="3"/>
  <c r="AC58" i="3" s="1"/>
  <c r="AA52" i="3"/>
  <c r="AA14" i="3"/>
  <c r="AA17" i="3"/>
  <c r="AC7" i="3"/>
  <c r="AB7" i="3"/>
  <c r="AD7" i="3" s="1"/>
  <c r="AF7" i="3"/>
  <c r="H62" i="3"/>
  <c r="AA47" i="3"/>
  <c r="AA42" i="3"/>
  <c r="AA56" i="3"/>
  <c r="AA22" i="3"/>
  <c r="AB55" i="3"/>
  <c r="AD55" i="3" s="1"/>
  <c r="AC55" i="3"/>
  <c r="AF55" i="3"/>
  <c r="AB54" i="3"/>
  <c r="AD54" i="3" s="1"/>
  <c r="AF54" i="3"/>
  <c r="AC54" i="3"/>
  <c r="AF34" i="3"/>
  <c r="AC34" i="3"/>
  <c r="AB34" i="3"/>
  <c r="AD34" i="3" s="1"/>
  <c r="AF46" i="3"/>
  <c r="AC46" i="3"/>
  <c r="AB46" i="3"/>
  <c r="AD46" i="3" s="1"/>
  <c r="AF41" i="3"/>
  <c r="AB41" i="3"/>
  <c r="AD41" i="3" s="1"/>
  <c r="AC41" i="3"/>
  <c r="AF39" i="3"/>
  <c r="AC39" i="3"/>
  <c r="AB39" i="3"/>
  <c r="AD39" i="3" s="1"/>
  <c r="AF51" i="3"/>
  <c r="AC51" i="3"/>
  <c r="AB51" i="3"/>
  <c r="AD51" i="3" s="1"/>
  <c r="AA61" i="3"/>
  <c r="AA60" i="3"/>
  <c r="AA59" i="3"/>
  <c r="AA40" i="3"/>
  <c r="AA38" i="3"/>
  <c r="AA37" i="3"/>
  <c r="AA36" i="3"/>
  <c r="AA50" i="3"/>
  <c r="AA49" i="3"/>
  <c r="AA48" i="3"/>
  <c r="AF5" i="3"/>
  <c r="AC5" i="3"/>
  <c r="AB5" i="3"/>
  <c r="AD5" i="3" s="1"/>
  <c r="I46" i="3"/>
  <c r="J46" i="3"/>
  <c r="H46" i="3"/>
  <c r="J39" i="3"/>
  <c r="I39" i="3"/>
  <c r="H39" i="3"/>
  <c r="J62" i="3"/>
  <c r="I62" i="3"/>
  <c r="J40" i="3"/>
  <c r="I40" i="3"/>
  <c r="H40" i="3"/>
  <c r="I61" i="3"/>
  <c r="J61" i="3"/>
  <c r="H61" i="3"/>
  <c r="K61" i="3" s="1"/>
  <c r="J51" i="3"/>
  <c r="I51" i="3"/>
  <c r="H51" i="3"/>
  <c r="K51" i="3" s="1"/>
  <c r="J49" i="3"/>
  <c r="I49" i="3"/>
  <c r="H49" i="3"/>
  <c r="I60" i="3"/>
  <c r="J60" i="3"/>
  <c r="H60" i="3"/>
  <c r="K60" i="3" s="1"/>
  <c r="J41" i="3"/>
  <c r="I41" i="3"/>
  <c r="H41" i="3"/>
  <c r="I59" i="3"/>
  <c r="H59" i="3"/>
  <c r="J59" i="3"/>
  <c r="H37" i="3"/>
  <c r="I37" i="3"/>
  <c r="J37" i="3"/>
  <c r="J47" i="3"/>
  <c r="I47" i="3"/>
  <c r="H47" i="3"/>
  <c r="K47" i="3" s="1"/>
  <c r="I42" i="3"/>
  <c r="J42" i="3"/>
  <c r="H42" i="3"/>
  <c r="H53" i="3"/>
  <c r="I53" i="3"/>
  <c r="J53" i="3"/>
  <c r="J58" i="3"/>
  <c r="I58" i="3"/>
  <c r="H58" i="3"/>
  <c r="K58" i="3" s="1"/>
  <c r="I57" i="3"/>
  <c r="J57" i="3"/>
  <c r="H57" i="3"/>
  <c r="I43" i="3"/>
  <c r="H43" i="3"/>
  <c r="K43" i="3" s="1"/>
  <c r="J43" i="3"/>
  <c r="I52" i="3"/>
  <c r="J52" i="3"/>
  <c r="H52" i="3"/>
  <c r="H44" i="3"/>
  <c r="I44" i="3"/>
  <c r="J44" i="3"/>
  <c r="J48" i="3"/>
  <c r="I48" i="3"/>
  <c r="H48" i="3"/>
  <c r="H56" i="3"/>
  <c r="I56" i="3"/>
  <c r="J56" i="3"/>
  <c r="J50" i="3"/>
  <c r="I50" i="3"/>
  <c r="H50" i="3"/>
  <c r="K50" i="3" s="1"/>
  <c r="H45" i="3"/>
  <c r="I45" i="3"/>
  <c r="J45" i="3"/>
  <c r="J55" i="3"/>
  <c r="I55" i="3"/>
  <c r="H55" i="3"/>
  <c r="K55" i="3" s="1"/>
  <c r="J54" i="3"/>
  <c r="H54" i="3"/>
  <c r="I54" i="3"/>
  <c r="J38" i="3"/>
  <c r="H38" i="3"/>
  <c r="I38" i="3"/>
  <c r="J36" i="3"/>
  <c r="I36" i="3"/>
  <c r="H36" i="3"/>
  <c r="I35" i="3"/>
  <c r="J35" i="3"/>
  <c r="H35" i="3"/>
  <c r="J34" i="3"/>
  <c r="H34" i="3"/>
  <c r="I34" i="3"/>
  <c r="I33" i="3"/>
  <c r="H33" i="3"/>
  <c r="K33" i="3" s="1"/>
  <c r="J33" i="3"/>
  <c r="AA30" i="3"/>
  <c r="AA16" i="3"/>
  <c r="AB16" i="3" s="1"/>
  <c r="AD16" i="3" s="1"/>
  <c r="AA23" i="3"/>
  <c r="J3" i="3"/>
  <c r="I3" i="3"/>
  <c r="H3" i="3"/>
  <c r="K3" i="3" s="1"/>
  <c r="H4" i="3"/>
  <c r="I4" i="3"/>
  <c r="J4" i="3"/>
  <c r="H5" i="3"/>
  <c r="I5" i="3"/>
  <c r="J5" i="3"/>
  <c r="H6" i="3"/>
  <c r="I6" i="3"/>
  <c r="J6" i="3"/>
  <c r="H7" i="3"/>
  <c r="I7" i="3"/>
  <c r="J7" i="3"/>
  <c r="H2" i="3"/>
  <c r="J2" i="3"/>
  <c r="I2" i="3"/>
  <c r="H8" i="3"/>
  <c r="I8" i="3"/>
  <c r="J8" i="3"/>
  <c r="H9" i="3"/>
  <c r="J9" i="3"/>
  <c r="I9" i="3"/>
  <c r="H10" i="3"/>
  <c r="I10" i="3"/>
  <c r="J10" i="3"/>
  <c r="J11" i="3"/>
  <c r="I11" i="3"/>
  <c r="H11" i="3"/>
  <c r="H12" i="3"/>
  <c r="I12" i="3"/>
  <c r="J12" i="3"/>
  <c r="I13" i="3"/>
  <c r="J13" i="3"/>
  <c r="H13" i="3"/>
  <c r="K13" i="3" s="1"/>
  <c r="J16" i="3"/>
  <c r="I16" i="3"/>
  <c r="H16" i="3"/>
  <c r="K16" i="3" s="1"/>
  <c r="J18" i="3"/>
  <c r="H18" i="3"/>
  <c r="I18" i="3"/>
  <c r="H21" i="3"/>
  <c r="J21" i="3"/>
  <c r="I21" i="3"/>
  <c r="J22" i="3"/>
  <c r="I22" i="3"/>
  <c r="H22" i="3"/>
  <c r="K22" i="3" s="1"/>
  <c r="H23" i="3"/>
  <c r="I23" i="3"/>
  <c r="J23" i="3"/>
  <c r="H24" i="3"/>
  <c r="I24" i="3"/>
  <c r="J24" i="3"/>
  <c r="J25" i="3"/>
  <c r="I25" i="3"/>
  <c r="H25" i="3"/>
  <c r="K25" i="3" s="1"/>
  <c r="J14" i="3"/>
  <c r="H14" i="3"/>
  <c r="I14" i="3"/>
  <c r="J15" i="3"/>
  <c r="H15" i="3"/>
  <c r="I15" i="3"/>
  <c r="H17" i="3"/>
  <c r="J17" i="3"/>
  <c r="I17" i="3"/>
  <c r="I19" i="3"/>
  <c r="H19" i="3"/>
  <c r="K19" i="3" s="1"/>
  <c r="J19" i="3"/>
  <c r="I20" i="3"/>
  <c r="H20" i="3"/>
  <c r="J20" i="3"/>
  <c r="H26" i="3"/>
  <c r="I26" i="3"/>
  <c r="J26" i="3"/>
  <c r="H27" i="3"/>
  <c r="I27" i="3"/>
  <c r="J27" i="3"/>
  <c r="H29" i="3"/>
  <c r="J29" i="3"/>
  <c r="I29" i="3"/>
  <c r="J30" i="3"/>
  <c r="H30" i="3"/>
  <c r="I30" i="3"/>
  <c r="H31" i="3"/>
  <c r="I31" i="3"/>
  <c r="J31" i="3"/>
  <c r="H32" i="3"/>
  <c r="J32" i="3"/>
  <c r="I32" i="3"/>
  <c r="J28" i="3"/>
  <c r="H28" i="3"/>
  <c r="I28" i="3"/>
  <c r="B40" i="2"/>
  <c r="B38" i="2"/>
  <c r="B39" i="2"/>
  <c r="AF2" i="3"/>
  <c r="AC2" i="3"/>
  <c r="AB2" i="3"/>
  <c r="AD2" i="3" s="1"/>
  <c r="AF21" i="3"/>
  <c r="AC21" i="3"/>
  <c r="AB21" i="3"/>
  <c r="AD21" i="3" s="1"/>
  <c r="AB27" i="3"/>
  <c r="AD27" i="3" s="1"/>
  <c r="AC27" i="3"/>
  <c r="AF27" i="3"/>
  <c r="AA31" i="3"/>
  <c r="AA32" i="3"/>
  <c r="AA25" i="3"/>
  <c r="AA26" i="3"/>
  <c r="AA24" i="3"/>
  <c r="C41" i="2"/>
  <c r="AA28" i="3"/>
  <c r="AA9" i="3"/>
  <c r="AA10" i="3"/>
  <c r="AA20" i="3"/>
  <c r="AA29" i="3"/>
  <c r="AF3" i="3" l="1"/>
  <c r="AC3" i="3"/>
  <c r="AB3" i="3"/>
  <c r="AD3" i="3" s="1"/>
  <c r="J99" i="4"/>
  <c r="O99" i="4" s="1"/>
  <c r="K99" i="4"/>
  <c r="N79" i="4"/>
  <c r="M79" i="4"/>
  <c r="M66" i="4"/>
  <c r="N66" i="4"/>
  <c r="H67" i="4"/>
  <c r="G67" i="4"/>
  <c r="K49" i="3"/>
  <c r="K57" i="3"/>
  <c r="G97" i="4"/>
  <c r="H97" i="4"/>
  <c r="AC45" i="3"/>
  <c r="AB45" i="3"/>
  <c r="AD45" i="3" s="1"/>
  <c r="AF45" i="3"/>
  <c r="J96" i="4"/>
  <c r="O96" i="4" s="1"/>
  <c r="K96" i="4"/>
  <c r="K101" i="4"/>
  <c r="J101" i="4"/>
  <c r="O101" i="4" s="1"/>
  <c r="J103" i="4"/>
  <c r="O103" i="4" s="1"/>
  <c r="K103" i="4"/>
  <c r="H90" i="4"/>
  <c r="G90" i="4"/>
  <c r="F83" i="4"/>
  <c r="I83" i="4" s="1"/>
  <c r="E83" i="4"/>
  <c r="H91" i="4"/>
  <c r="G91" i="4"/>
  <c r="N95" i="4"/>
  <c r="M95" i="4"/>
  <c r="H102" i="4"/>
  <c r="G102" i="4"/>
  <c r="F79" i="4"/>
  <c r="I79" i="4" s="1"/>
  <c r="E79" i="4"/>
  <c r="H100" i="4"/>
  <c r="G100" i="4"/>
  <c r="H104" i="4"/>
  <c r="G104" i="4"/>
  <c r="H94" i="4"/>
  <c r="G94" i="4"/>
  <c r="H82" i="4"/>
  <c r="G82" i="4"/>
  <c r="K11" i="3"/>
  <c r="E95" i="4"/>
  <c r="F95" i="4"/>
  <c r="I95" i="4" s="1"/>
  <c r="J98" i="4"/>
  <c r="O98" i="4" s="1"/>
  <c r="K98" i="4"/>
  <c r="N83" i="4"/>
  <c r="M83" i="4"/>
  <c r="AB11" i="3"/>
  <c r="AD11" i="3" s="1"/>
  <c r="AC11" i="3"/>
  <c r="AF11" i="3"/>
  <c r="AB4" i="3"/>
  <c r="AD4" i="3" s="1"/>
  <c r="AC4" i="3"/>
  <c r="AF4" i="3"/>
  <c r="F78" i="4"/>
  <c r="I78" i="4" s="1"/>
  <c r="E78" i="4"/>
  <c r="E89" i="4"/>
  <c r="F89" i="4"/>
  <c r="I89" i="4" s="1"/>
  <c r="J65" i="4"/>
  <c r="O65" i="4" s="1"/>
  <c r="K65" i="4"/>
  <c r="J75" i="4"/>
  <c r="O75" i="4" s="1"/>
  <c r="K75" i="4"/>
  <c r="N77" i="4"/>
  <c r="M77" i="4"/>
  <c r="N85" i="4"/>
  <c r="M85" i="4"/>
  <c r="N80" i="4"/>
  <c r="M80" i="4"/>
  <c r="N74" i="4"/>
  <c r="M74" i="4"/>
  <c r="N73" i="4"/>
  <c r="M73" i="4"/>
  <c r="N72" i="4"/>
  <c r="M72" i="4"/>
  <c r="N68" i="4"/>
  <c r="M68" i="4"/>
  <c r="N87" i="4"/>
  <c r="M87" i="4"/>
  <c r="M84" i="4"/>
  <c r="N84" i="4"/>
  <c r="M92" i="4"/>
  <c r="N92" i="4"/>
  <c r="N88" i="4"/>
  <c r="M88" i="4"/>
  <c r="M71" i="4"/>
  <c r="N71" i="4"/>
  <c r="M78" i="4"/>
  <c r="N78" i="4"/>
  <c r="N89" i="4"/>
  <c r="M89" i="4"/>
  <c r="N81" i="4"/>
  <c r="M81" i="4"/>
  <c r="H81" i="4"/>
  <c r="G81" i="4"/>
  <c r="G66" i="4"/>
  <c r="H66" i="4"/>
  <c r="H93" i="4"/>
  <c r="G93" i="4"/>
  <c r="G70" i="4"/>
  <c r="H70" i="4"/>
  <c r="G83" i="4"/>
  <c r="H83" i="4"/>
  <c r="H86" i="4"/>
  <c r="G86" i="4"/>
  <c r="G69" i="4"/>
  <c r="H69" i="4"/>
  <c r="K41" i="3"/>
  <c r="E77" i="4"/>
  <c r="F77" i="4"/>
  <c r="I77" i="4" s="1"/>
  <c r="E85" i="4"/>
  <c r="F85" i="4"/>
  <c r="I85" i="4" s="1"/>
  <c r="E80" i="4"/>
  <c r="F80" i="4"/>
  <c r="I80" i="4" s="1"/>
  <c r="F74" i="4"/>
  <c r="I74" i="4" s="1"/>
  <c r="E74" i="4"/>
  <c r="F73" i="4"/>
  <c r="I73" i="4" s="1"/>
  <c r="E73" i="4"/>
  <c r="E72" i="4"/>
  <c r="F72" i="4"/>
  <c r="I72" i="4" s="1"/>
  <c r="F68" i="4"/>
  <c r="I68" i="4" s="1"/>
  <c r="E68" i="4"/>
  <c r="F87" i="4"/>
  <c r="I87" i="4" s="1"/>
  <c r="E87" i="4"/>
  <c r="F84" i="4"/>
  <c r="I84" i="4" s="1"/>
  <c r="E84" i="4"/>
  <c r="E92" i="4"/>
  <c r="F92" i="4"/>
  <c r="I92" i="4" s="1"/>
  <c r="E88" i="4"/>
  <c r="F88" i="4"/>
  <c r="I88" i="4" s="1"/>
  <c r="E71" i="4"/>
  <c r="F71" i="4"/>
  <c r="I71" i="4" s="1"/>
  <c r="K76" i="4"/>
  <c r="J76" i="4"/>
  <c r="O76" i="4" s="1"/>
  <c r="J67" i="4"/>
  <c r="O67" i="4" s="1"/>
  <c r="K67" i="4"/>
  <c r="AF18" i="3"/>
  <c r="AC18" i="3"/>
  <c r="AB18" i="3"/>
  <c r="AD18" i="3" s="1"/>
  <c r="AC8" i="3"/>
  <c r="AB8" i="3"/>
  <c r="AD8" i="3" s="1"/>
  <c r="AF8" i="3"/>
  <c r="AF35" i="3"/>
  <c r="AC35" i="3"/>
  <c r="AB35" i="3"/>
  <c r="AD35" i="3" s="1"/>
  <c r="AF44" i="3"/>
  <c r="AB44" i="3"/>
  <c r="AD44" i="3" s="1"/>
  <c r="AC44" i="3"/>
  <c r="AF33" i="3"/>
  <c r="AB33" i="3"/>
  <c r="AD33" i="3" s="1"/>
  <c r="AC33" i="3"/>
  <c r="AF62" i="3"/>
  <c r="AC62" i="3"/>
  <c r="AB62" i="3"/>
  <c r="AD62" i="3" s="1"/>
  <c r="AF58" i="3"/>
  <c r="AB58" i="3"/>
  <c r="AD58" i="3" s="1"/>
  <c r="AF53" i="3"/>
  <c r="AC53" i="3"/>
  <c r="AB53" i="3"/>
  <c r="AD53" i="3" s="1"/>
  <c r="AF57" i="3"/>
  <c r="AB57" i="3"/>
  <c r="AD57" i="3" s="1"/>
  <c r="AF43" i="3"/>
  <c r="AC43" i="3"/>
  <c r="AB6" i="3"/>
  <c r="AD6" i="3" s="1"/>
  <c r="AC6" i="3"/>
  <c r="AF6" i="3"/>
  <c r="AC13" i="3"/>
  <c r="AB13" i="3"/>
  <c r="AD13" i="3" s="1"/>
  <c r="AF13" i="3"/>
  <c r="AC12" i="3"/>
  <c r="AF12" i="3"/>
  <c r="AB12" i="3"/>
  <c r="AD12" i="3" s="1"/>
  <c r="AF52" i="3"/>
  <c r="AC52" i="3"/>
  <c r="AB52" i="3"/>
  <c r="AD52" i="3" s="1"/>
  <c r="K62" i="3"/>
  <c r="K36" i="3"/>
  <c r="K52" i="3"/>
  <c r="AB23" i="3"/>
  <c r="AD23" i="3" s="1"/>
  <c r="AF23" i="3"/>
  <c r="AC23" i="3"/>
  <c r="K39" i="3"/>
  <c r="L39" i="3" s="1"/>
  <c r="N39" i="3" s="1"/>
  <c r="K35" i="3"/>
  <c r="P35" i="3" s="1"/>
  <c r="AB15" i="3"/>
  <c r="AD15" i="3" s="1"/>
  <c r="AF15" i="3"/>
  <c r="AC15" i="3"/>
  <c r="AF19" i="3"/>
  <c r="AC19" i="3"/>
  <c r="AB19" i="3"/>
  <c r="AD19" i="3" s="1"/>
  <c r="AC14" i="3"/>
  <c r="AB14" i="3"/>
  <c r="AD14" i="3" s="1"/>
  <c r="AF14" i="3"/>
  <c r="AC17" i="3"/>
  <c r="AF17" i="3"/>
  <c r="AB17" i="3"/>
  <c r="AD17" i="3" s="1"/>
  <c r="K42" i="3"/>
  <c r="P42" i="3" s="1"/>
  <c r="K53" i="3"/>
  <c r="AF42" i="3"/>
  <c r="AB42" i="3"/>
  <c r="AD42" i="3" s="1"/>
  <c r="AC42" i="3"/>
  <c r="AC16" i="3"/>
  <c r="AF16" i="3"/>
  <c r="K40" i="3"/>
  <c r="K59" i="3"/>
  <c r="K48" i="3"/>
  <c r="AC47" i="3"/>
  <c r="AB47" i="3"/>
  <c r="AD47" i="3" s="1"/>
  <c r="AF47" i="3"/>
  <c r="AC56" i="3"/>
  <c r="AB56" i="3"/>
  <c r="AD56" i="3" s="1"/>
  <c r="AF56" i="3"/>
  <c r="AC22" i="3"/>
  <c r="AF22" i="3"/>
  <c r="AB22" i="3"/>
  <c r="AD22" i="3" s="1"/>
  <c r="K20" i="3"/>
  <c r="AC61" i="3"/>
  <c r="AB61" i="3"/>
  <c r="AD61" i="3" s="1"/>
  <c r="AF61" i="3"/>
  <c r="AB60" i="3"/>
  <c r="AD60" i="3" s="1"/>
  <c r="AC60" i="3"/>
  <c r="AF60" i="3"/>
  <c r="AC59" i="3"/>
  <c r="AB59" i="3"/>
  <c r="AD59" i="3" s="1"/>
  <c r="AF59" i="3"/>
  <c r="AC40" i="3"/>
  <c r="AB40" i="3"/>
  <c r="AD40" i="3" s="1"/>
  <c r="AF40" i="3"/>
  <c r="AB38" i="3"/>
  <c r="AD38" i="3" s="1"/>
  <c r="AF38" i="3"/>
  <c r="AC38" i="3"/>
  <c r="AF37" i="3"/>
  <c r="AC37" i="3"/>
  <c r="AB37" i="3"/>
  <c r="AD37" i="3" s="1"/>
  <c r="AB36" i="3"/>
  <c r="AD36" i="3" s="1"/>
  <c r="AC36" i="3"/>
  <c r="AF36" i="3"/>
  <c r="AB50" i="3"/>
  <c r="AD50" i="3" s="1"/>
  <c r="AC50" i="3"/>
  <c r="AF50" i="3"/>
  <c r="AC49" i="3"/>
  <c r="AB49" i="3"/>
  <c r="AD49" i="3" s="1"/>
  <c r="AF49" i="3"/>
  <c r="AB48" i="3"/>
  <c r="AD48" i="3" s="1"/>
  <c r="AC48" i="3"/>
  <c r="AF48" i="3"/>
  <c r="AB30" i="3"/>
  <c r="AD30" i="3" s="1"/>
  <c r="AF30" i="3"/>
  <c r="AC30" i="3"/>
  <c r="P61" i="3"/>
  <c r="L61" i="3"/>
  <c r="N61" i="3" s="1"/>
  <c r="M61" i="3"/>
  <c r="P51" i="3"/>
  <c r="L51" i="3"/>
  <c r="N51" i="3" s="1"/>
  <c r="M51" i="3"/>
  <c r="P60" i="3"/>
  <c r="M60" i="3"/>
  <c r="L60" i="3"/>
  <c r="N60" i="3" s="1"/>
  <c r="P47" i="3"/>
  <c r="L47" i="3"/>
  <c r="N47" i="3" s="1"/>
  <c r="M47" i="3"/>
  <c r="L58" i="3"/>
  <c r="N58" i="3" s="1"/>
  <c r="P58" i="3"/>
  <c r="M58" i="3"/>
  <c r="L43" i="3"/>
  <c r="N43" i="3" s="1"/>
  <c r="M43" i="3"/>
  <c r="P43" i="3"/>
  <c r="P50" i="3"/>
  <c r="M50" i="3"/>
  <c r="L50" i="3"/>
  <c r="N50" i="3" s="1"/>
  <c r="P55" i="3"/>
  <c r="L55" i="3"/>
  <c r="N55" i="3" s="1"/>
  <c r="M55" i="3"/>
  <c r="L33" i="3"/>
  <c r="N33" i="3" s="1"/>
  <c r="M33" i="3"/>
  <c r="P33" i="3"/>
  <c r="K44" i="3"/>
  <c r="K56" i="3"/>
  <c r="K45" i="3"/>
  <c r="K54" i="3"/>
  <c r="K38" i="3"/>
  <c r="K34" i="3"/>
  <c r="K8" i="3"/>
  <c r="K46" i="3"/>
  <c r="K37" i="3"/>
  <c r="K6" i="3"/>
  <c r="K7" i="3"/>
  <c r="L7" i="3" s="1"/>
  <c r="N7" i="3" s="1"/>
  <c r="K24" i="3"/>
  <c r="K14" i="3"/>
  <c r="K23" i="3"/>
  <c r="L23" i="3" s="1"/>
  <c r="N23" i="3" s="1"/>
  <c r="K15" i="3"/>
  <c r="K27" i="3"/>
  <c r="K28" i="3"/>
  <c r="P3" i="3"/>
  <c r="M3" i="3"/>
  <c r="L3" i="3"/>
  <c r="N3" i="3" s="1"/>
  <c r="L13" i="3"/>
  <c r="N13" i="3" s="1"/>
  <c r="M13" i="3"/>
  <c r="P13" i="3"/>
  <c r="P16" i="3"/>
  <c r="M16" i="3"/>
  <c r="L16" i="3"/>
  <c r="N16" i="3" s="1"/>
  <c r="P22" i="3"/>
  <c r="M22" i="3"/>
  <c r="L22" i="3"/>
  <c r="N22" i="3" s="1"/>
  <c r="P25" i="3"/>
  <c r="M25" i="3"/>
  <c r="L25" i="3"/>
  <c r="N25" i="3" s="1"/>
  <c r="M19" i="3"/>
  <c r="P19" i="3"/>
  <c r="L19" i="3"/>
  <c r="N19" i="3" s="1"/>
  <c r="AB31" i="3"/>
  <c r="AD31" i="3" s="1"/>
  <c r="AC31" i="3"/>
  <c r="AF31" i="3"/>
  <c r="AF32" i="3"/>
  <c r="AC32" i="3"/>
  <c r="AB32" i="3"/>
  <c r="AD32" i="3" s="1"/>
  <c r="AF25" i="3"/>
  <c r="AC25" i="3"/>
  <c r="AB25" i="3"/>
  <c r="AD25" i="3" s="1"/>
  <c r="AB26" i="3"/>
  <c r="AD26" i="3" s="1"/>
  <c r="AC26" i="3"/>
  <c r="AF26" i="3"/>
  <c r="AB24" i="3"/>
  <c r="AD24" i="3" s="1"/>
  <c r="AC24" i="3"/>
  <c r="AF24" i="3"/>
  <c r="C43" i="2"/>
  <c r="C44" i="2" s="1"/>
  <c r="C42" i="2"/>
  <c r="AC28" i="3"/>
  <c r="AB28" i="3"/>
  <c r="AD28" i="3" s="1"/>
  <c r="AF28" i="3"/>
  <c r="AB9" i="3"/>
  <c r="AD9" i="3" s="1"/>
  <c r="AC9" i="3"/>
  <c r="AF9" i="3"/>
  <c r="AB10" i="3"/>
  <c r="AD10" i="3" s="1"/>
  <c r="AC10" i="3"/>
  <c r="AF10" i="3"/>
  <c r="AC20" i="3"/>
  <c r="AB20" i="3"/>
  <c r="AD20" i="3" s="1"/>
  <c r="AF20" i="3"/>
  <c r="AB29" i="3"/>
  <c r="AD29" i="3" s="1"/>
  <c r="AC29" i="3"/>
  <c r="AF29" i="3"/>
  <c r="K2" i="3"/>
  <c r="K4" i="3"/>
  <c r="K5" i="3"/>
  <c r="K9" i="3"/>
  <c r="K10" i="3"/>
  <c r="K12" i="3"/>
  <c r="K18" i="3"/>
  <c r="K21" i="3"/>
  <c r="K17" i="3"/>
  <c r="K26" i="3"/>
  <c r="K29" i="3"/>
  <c r="K30" i="3"/>
  <c r="K31" i="3"/>
  <c r="K32" i="3"/>
  <c r="B41" i="2"/>
  <c r="P49" i="3" l="1"/>
  <c r="L49" i="3"/>
  <c r="N49" i="3" s="1"/>
  <c r="M49" i="3"/>
  <c r="P57" i="3"/>
  <c r="P59" i="4" s="1"/>
  <c r="M57" i="3"/>
  <c r="L57" i="3"/>
  <c r="N57" i="3" s="1"/>
  <c r="J97" i="4"/>
  <c r="O97" i="4" s="1"/>
  <c r="K97" i="4"/>
  <c r="J90" i="4"/>
  <c r="O90" i="4" s="1"/>
  <c r="K90" i="4"/>
  <c r="J91" i="4"/>
  <c r="O91" i="4" s="1"/>
  <c r="K91" i="4"/>
  <c r="K102" i="4"/>
  <c r="J102" i="4"/>
  <c r="O102" i="4" s="1"/>
  <c r="H79" i="4"/>
  <c r="G79" i="4"/>
  <c r="K100" i="4"/>
  <c r="J100" i="4"/>
  <c r="O100" i="4" s="1"/>
  <c r="K104" i="4"/>
  <c r="J104" i="4"/>
  <c r="O104" i="4" s="1"/>
  <c r="K94" i="4"/>
  <c r="J94" i="4"/>
  <c r="O94" i="4" s="1"/>
  <c r="K82" i="4"/>
  <c r="J82" i="4"/>
  <c r="O82" i="4" s="1"/>
  <c r="H95" i="4"/>
  <c r="G95" i="4"/>
  <c r="L11" i="3"/>
  <c r="N11" i="3" s="1"/>
  <c r="M11" i="3"/>
  <c r="P11" i="3"/>
  <c r="P13" i="4" s="1"/>
  <c r="H78" i="4"/>
  <c r="G78" i="4"/>
  <c r="G89" i="4"/>
  <c r="H89" i="4"/>
  <c r="K78" i="4"/>
  <c r="J78" i="4"/>
  <c r="O78" i="4" s="1"/>
  <c r="J89" i="4"/>
  <c r="O89" i="4" s="1"/>
  <c r="K89" i="4"/>
  <c r="K81" i="4"/>
  <c r="J81" i="4"/>
  <c r="O81" i="4" s="1"/>
  <c r="K66" i="4"/>
  <c r="J66" i="4"/>
  <c r="O66" i="4" s="1"/>
  <c r="K93" i="4"/>
  <c r="J93" i="4"/>
  <c r="O93" i="4" s="1"/>
  <c r="K70" i="4"/>
  <c r="J70" i="4"/>
  <c r="O70" i="4" s="1"/>
  <c r="K83" i="4"/>
  <c r="J83" i="4"/>
  <c r="O83" i="4" s="1"/>
  <c r="K86" i="4"/>
  <c r="J86" i="4"/>
  <c r="O86" i="4" s="1"/>
  <c r="K69" i="4"/>
  <c r="J69" i="4"/>
  <c r="O69" i="4" s="1"/>
  <c r="H77" i="4"/>
  <c r="G77" i="4"/>
  <c r="H85" i="4"/>
  <c r="G85" i="4"/>
  <c r="G80" i="4"/>
  <c r="H80" i="4"/>
  <c r="G74" i="4"/>
  <c r="H74" i="4"/>
  <c r="G73" i="4"/>
  <c r="H73" i="4"/>
  <c r="H72" i="4"/>
  <c r="G72" i="4"/>
  <c r="H68" i="4"/>
  <c r="G68" i="4"/>
  <c r="H87" i="4"/>
  <c r="G87" i="4"/>
  <c r="G84" i="4"/>
  <c r="H84" i="4"/>
  <c r="G92" i="4"/>
  <c r="H92" i="4"/>
  <c r="H88" i="4"/>
  <c r="G88" i="4"/>
  <c r="G71" i="4"/>
  <c r="H71" i="4"/>
  <c r="P41" i="3"/>
  <c r="M41" i="3"/>
  <c r="L41" i="3"/>
  <c r="N41" i="3" s="1"/>
  <c r="P36" i="3"/>
  <c r="P38" i="4" s="1"/>
  <c r="M36" i="3"/>
  <c r="L36" i="3"/>
  <c r="N36" i="3" s="1"/>
  <c r="P48" i="3"/>
  <c r="M48" i="3"/>
  <c r="L48" i="3"/>
  <c r="N48" i="3" s="1"/>
  <c r="M35" i="3"/>
  <c r="L35" i="3"/>
  <c r="N35" i="3" s="1"/>
  <c r="M59" i="3"/>
  <c r="L59" i="3"/>
  <c r="N59" i="3" s="1"/>
  <c r="P59" i="3"/>
  <c r="P61" i="4" s="1"/>
  <c r="M7" i="3"/>
  <c r="P7" i="3"/>
  <c r="P9" i="4" s="1"/>
  <c r="M62" i="3"/>
  <c r="P62" i="3"/>
  <c r="P64" i="4" s="1"/>
  <c r="L62" i="3"/>
  <c r="N62" i="3" s="1"/>
  <c r="M52" i="3"/>
  <c r="L52" i="3"/>
  <c r="N52" i="3" s="1"/>
  <c r="P52" i="3"/>
  <c r="P54" i="4" s="1"/>
  <c r="L24" i="3"/>
  <c r="N24" i="3" s="1"/>
  <c r="M24" i="3"/>
  <c r="P24" i="3"/>
  <c r="P26" i="4" s="1"/>
  <c r="P23" i="3"/>
  <c r="P25" i="4" s="1"/>
  <c r="M23" i="3"/>
  <c r="P39" i="3"/>
  <c r="P41" i="4" s="1"/>
  <c r="M39" i="3"/>
  <c r="M20" i="3"/>
  <c r="P20" i="3"/>
  <c r="P22" i="4" s="1"/>
  <c r="L20" i="3"/>
  <c r="N20" i="3" s="1"/>
  <c r="L14" i="3"/>
  <c r="N14" i="3" s="1"/>
  <c r="P14" i="3"/>
  <c r="P16" i="4" s="1"/>
  <c r="M14" i="3"/>
  <c r="L15" i="3"/>
  <c r="N15" i="3" s="1"/>
  <c r="M15" i="3"/>
  <c r="P15" i="3"/>
  <c r="P17" i="4" s="1"/>
  <c r="M42" i="3"/>
  <c r="L42" i="3"/>
  <c r="N42" i="3" s="1"/>
  <c r="L53" i="3"/>
  <c r="N53" i="3" s="1"/>
  <c r="M53" i="3"/>
  <c r="P53" i="3"/>
  <c r="P55" i="4" s="1"/>
  <c r="L40" i="3"/>
  <c r="N40" i="3" s="1"/>
  <c r="M40" i="3"/>
  <c r="P40" i="3"/>
  <c r="P42" i="4" s="1"/>
  <c r="L8" i="3"/>
  <c r="N8" i="3" s="1"/>
  <c r="M8" i="3"/>
  <c r="P8" i="3"/>
  <c r="P10" i="4" s="1"/>
  <c r="L6" i="3"/>
  <c r="N6" i="3" s="1"/>
  <c r="M6" i="3"/>
  <c r="P6" i="3"/>
  <c r="P8" i="4" s="1"/>
  <c r="P51" i="4"/>
  <c r="P52" i="4"/>
  <c r="P63" i="4"/>
  <c r="P53" i="4"/>
  <c r="P62" i="4"/>
  <c r="P43" i="4"/>
  <c r="P49" i="4"/>
  <c r="P44" i="4"/>
  <c r="P60" i="4"/>
  <c r="P45" i="4"/>
  <c r="P50" i="4"/>
  <c r="P57" i="4"/>
  <c r="P37" i="4"/>
  <c r="P35" i="4"/>
  <c r="P44" i="3"/>
  <c r="L44" i="3"/>
  <c r="N44" i="3" s="1"/>
  <c r="M44" i="3"/>
  <c r="L56" i="3"/>
  <c r="N56" i="3" s="1"/>
  <c r="M56" i="3"/>
  <c r="P56" i="3"/>
  <c r="P45" i="3"/>
  <c r="P47" i="4" s="1"/>
  <c r="M45" i="3"/>
  <c r="L45" i="3"/>
  <c r="N45" i="3" s="1"/>
  <c r="M54" i="3"/>
  <c r="L54" i="3"/>
  <c r="N54" i="3" s="1"/>
  <c r="P54" i="3"/>
  <c r="L38" i="3"/>
  <c r="N38" i="3" s="1"/>
  <c r="P38" i="3"/>
  <c r="M38" i="3"/>
  <c r="P34" i="3"/>
  <c r="M34" i="3"/>
  <c r="L34" i="3"/>
  <c r="N34" i="3" s="1"/>
  <c r="P46" i="3"/>
  <c r="L46" i="3"/>
  <c r="N46" i="3" s="1"/>
  <c r="M46" i="3"/>
  <c r="P37" i="3"/>
  <c r="M37" i="3"/>
  <c r="L37" i="3"/>
  <c r="N37" i="3" s="1"/>
  <c r="L27" i="3"/>
  <c r="N27" i="3" s="1"/>
  <c r="P27" i="3"/>
  <c r="P29" i="4" s="1"/>
  <c r="M27" i="3"/>
  <c r="L28" i="3"/>
  <c r="N28" i="3" s="1"/>
  <c r="M28" i="3"/>
  <c r="P28" i="3"/>
  <c r="P30" i="4" s="1"/>
  <c r="P5" i="4"/>
  <c r="P15" i="4"/>
  <c r="P18" i="4"/>
  <c r="P24" i="4"/>
  <c r="P27" i="4"/>
  <c r="P21" i="4"/>
  <c r="C45" i="2"/>
  <c r="C46" i="2"/>
  <c r="L2" i="3"/>
  <c r="N2" i="3" s="1"/>
  <c r="P2" i="3"/>
  <c r="M2" i="3"/>
  <c r="P4" i="3"/>
  <c r="M4" i="3"/>
  <c r="L4" i="3"/>
  <c r="N4" i="3" s="1"/>
  <c r="P5" i="3"/>
  <c r="M5" i="3"/>
  <c r="L5" i="3"/>
  <c r="N5" i="3" s="1"/>
  <c r="P9" i="3"/>
  <c r="M9" i="3"/>
  <c r="L9" i="3"/>
  <c r="N9" i="3" s="1"/>
  <c r="P10" i="3"/>
  <c r="M10" i="3"/>
  <c r="L10" i="3"/>
  <c r="N10" i="3" s="1"/>
  <c r="M12" i="3"/>
  <c r="P12" i="3"/>
  <c r="L12" i="3"/>
  <c r="N12" i="3" s="1"/>
  <c r="P18" i="3"/>
  <c r="M18" i="3"/>
  <c r="L18" i="3"/>
  <c r="N18" i="3" s="1"/>
  <c r="P21" i="3"/>
  <c r="M21" i="3"/>
  <c r="L21" i="3"/>
  <c r="N21" i="3" s="1"/>
  <c r="P17" i="3"/>
  <c r="L17" i="3"/>
  <c r="N17" i="3" s="1"/>
  <c r="M17" i="3"/>
  <c r="P26" i="3"/>
  <c r="M26" i="3"/>
  <c r="L26" i="3"/>
  <c r="N26" i="3" s="1"/>
  <c r="P29" i="3"/>
  <c r="L29" i="3"/>
  <c r="N29" i="3" s="1"/>
  <c r="M29" i="3"/>
  <c r="P30" i="3"/>
  <c r="M30" i="3"/>
  <c r="L30" i="3"/>
  <c r="N30" i="3" s="1"/>
  <c r="L31" i="3"/>
  <c r="N31" i="3" s="1"/>
  <c r="M31" i="3"/>
  <c r="P31" i="3"/>
  <c r="L32" i="3"/>
  <c r="N32" i="3" s="1"/>
  <c r="M32" i="3"/>
  <c r="P32" i="3"/>
  <c r="B43" i="2"/>
  <c r="B44" i="2" s="1"/>
  <c r="B42" i="2"/>
  <c r="K79" i="4" l="1"/>
  <c r="J79" i="4"/>
  <c r="O79" i="4" s="1"/>
  <c r="K95" i="4"/>
  <c r="J95" i="4"/>
  <c r="O95" i="4" s="1"/>
  <c r="J77" i="4"/>
  <c r="O77" i="4" s="1"/>
  <c r="K77" i="4"/>
  <c r="K85" i="4"/>
  <c r="J85" i="4"/>
  <c r="O85" i="4" s="1"/>
  <c r="K80" i="4"/>
  <c r="J80" i="4"/>
  <c r="O80" i="4" s="1"/>
  <c r="K74" i="4"/>
  <c r="J74" i="4"/>
  <c r="O74" i="4" s="1"/>
  <c r="K73" i="4"/>
  <c r="J73" i="4"/>
  <c r="O73" i="4" s="1"/>
  <c r="K72" i="4"/>
  <c r="J72" i="4"/>
  <c r="O72" i="4" s="1"/>
  <c r="K68" i="4"/>
  <c r="J68" i="4"/>
  <c r="O68" i="4" s="1"/>
  <c r="K87" i="4"/>
  <c r="J87" i="4"/>
  <c r="O87" i="4" s="1"/>
  <c r="K84" i="4"/>
  <c r="J84" i="4"/>
  <c r="O84" i="4" s="1"/>
  <c r="K92" i="4"/>
  <c r="J92" i="4"/>
  <c r="O92" i="4" s="1"/>
  <c r="K88" i="4"/>
  <c r="J88" i="4"/>
  <c r="O88" i="4" s="1"/>
  <c r="K71" i="4"/>
  <c r="J71" i="4"/>
  <c r="O71" i="4" s="1"/>
  <c r="P46" i="4"/>
  <c r="P58" i="4"/>
  <c r="P56" i="4"/>
  <c r="P40" i="4"/>
  <c r="P36" i="4"/>
  <c r="P48" i="4"/>
  <c r="P39" i="4"/>
  <c r="P4" i="4"/>
  <c r="P6" i="4"/>
  <c r="P7" i="4"/>
  <c r="P11" i="4"/>
  <c r="P12" i="4"/>
  <c r="P14" i="4"/>
  <c r="P20" i="4"/>
  <c r="P23" i="4"/>
  <c r="P19" i="4"/>
  <c r="P28" i="4"/>
  <c r="P31" i="4"/>
  <c r="P32" i="4"/>
  <c r="P33" i="4"/>
  <c r="P34" i="4"/>
  <c r="B46" i="2"/>
  <c r="B45" i="2"/>
  <c r="C47" i="2"/>
  <c r="AE35" i="3" l="1"/>
  <c r="AG35" i="3" s="1"/>
  <c r="C37" i="4" s="1"/>
  <c r="AE55" i="3"/>
  <c r="AG55" i="3" s="1"/>
  <c r="C57" i="4" s="1"/>
  <c r="AE47" i="3"/>
  <c r="AG47" i="3" s="1"/>
  <c r="C49" i="4" s="1"/>
  <c r="AE33" i="3"/>
  <c r="AG33" i="3" s="1"/>
  <c r="C35" i="4" s="1"/>
  <c r="AE54" i="3"/>
  <c r="AG54" i="3" s="1"/>
  <c r="C56" i="4" s="1"/>
  <c r="AE52" i="3"/>
  <c r="AG52" i="3" s="1"/>
  <c r="C54" i="4" s="1"/>
  <c r="AE46" i="3"/>
  <c r="AG46" i="3" s="1"/>
  <c r="C48" i="4" s="1"/>
  <c r="AE45" i="3"/>
  <c r="AG45" i="3" s="1"/>
  <c r="C47" i="4" s="1"/>
  <c r="AE56" i="3"/>
  <c r="AG56" i="3" s="1"/>
  <c r="C58" i="4" s="1"/>
  <c r="AE44" i="3"/>
  <c r="AG44" i="3" s="1"/>
  <c r="C46" i="4" s="1"/>
  <c r="AE43" i="3"/>
  <c r="AG43" i="3" s="1"/>
  <c r="C45" i="4" s="1"/>
  <c r="AE51" i="3"/>
  <c r="AG51" i="3" s="1"/>
  <c r="C53" i="4" s="1"/>
  <c r="AE41" i="3"/>
  <c r="AG41" i="3" s="1"/>
  <c r="C43" i="4" s="1"/>
  <c r="AE42" i="3"/>
  <c r="AG42" i="3" s="1"/>
  <c r="C44" i="4" s="1"/>
  <c r="AE57" i="3"/>
  <c r="AG57" i="3" s="1"/>
  <c r="C59" i="4" s="1"/>
  <c r="AE58" i="3"/>
  <c r="AG58" i="3" s="1"/>
  <c r="C60" i="4" s="1"/>
  <c r="AE53" i="3"/>
  <c r="AG53" i="3" s="1"/>
  <c r="C55" i="4" s="1"/>
  <c r="AE62" i="3"/>
  <c r="AG62" i="3" s="1"/>
  <c r="C64" i="4" s="1"/>
  <c r="AE39" i="3"/>
  <c r="AG39" i="3" s="1"/>
  <c r="C41" i="4" s="1"/>
  <c r="AE34" i="3"/>
  <c r="AG34" i="3" s="1"/>
  <c r="C36" i="4" s="1"/>
  <c r="AE59" i="3"/>
  <c r="AG59" i="3" s="1"/>
  <c r="C61" i="4" s="1"/>
  <c r="AE40" i="3"/>
  <c r="AG40" i="3" s="1"/>
  <c r="C42" i="4" s="1"/>
  <c r="AE38" i="3"/>
  <c r="AG38" i="3" s="1"/>
  <c r="C40" i="4" s="1"/>
  <c r="AE37" i="3"/>
  <c r="AG37" i="3" s="1"/>
  <c r="C39" i="4" s="1"/>
  <c r="AE49" i="3"/>
  <c r="AG49" i="3" s="1"/>
  <c r="C51" i="4" s="1"/>
  <c r="AE60" i="3"/>
  <c r="AG60" i="3" s="1"/>
  <c r="C62" i="4" s="1"/>
  <c r="AE50" i="3"/>
  <c r="AG50" i="3" s="1"/>
  <c r="C52" i="4" s="1"/>
  <c r="AE61" i="3"/>
  <c r="AG61" i="3" s="1"/>
  <c r="C63" i="4" s="1"/>
  <c r="AE48" i="3"/>
  <c r="AG48" i="3" s="1"/>
  <c r="C50" i="4" s="1"/>
  <c r="AE36" i="3"/>
  <c r="AG36" i="3" s="1"/>
  <c r="C38" i="4" s="1"/>
  <c r="AE8" i="3"/>
  <c r="AG8" i="3" s="1"/>
  <c r="C10" i="4" s="1"/>
  <c r="AE6" i="3"/>
  <c r="AG6" i="3" s="1"/>
  <c r="C8" i="4" s="1"/>
  <c r="AE4" i="3"/>
  <c r="AG4" i="3" s="1"/>
  <c r="C6" i="4" s="1"/>
  <c r="AE22" i="3"/>
  <c r="AG22" i="3" s="1"/>
  <c r="C24" i="4" s="1"/>
  <c r="AE14" i="3"/>
  <c r="AG14" i="3" s="1"/>
  <c r="C16" i="4" s="1"/>
  <c r="AE7" i="3"/>
  <c r="AG7" i="3" s="1"/>
  <c r="C9" i="4" s="1"/>
  <c r="AE5" i="3"/>
  <c r="AG5" i="3" s="1"/>
  <c r="C7" i="4" s="1"/>
  <c r="AE11" i="3"/>
  <c r="AG11" i="3" s="1"/>
  <c r="C13" i="4" s="1"/>
  <c r="AE3" i="3"/>
  <c r="AG3" i="3" s="1"/>
  <c r="C5" i="4" s="1"/>
  <c r="AE15" i="3"/>
  <c r="AG15" i="3" s="1"/>
  <c r="C17" i="4" s="1"/>
  <c r="AE21" i="3"/>
  <c r="AG21" i="3" s="1"/>
  <c r="C23" i="4" s="1"/>
  <c r="AE2" i="3"/>
  <c r="AG2" i="3" s="1"/>
  <c r="C4" i="4" s="1"/>
  <c r="AE17" i="3"/>
  <c r="AG17" i="3" s="1"/>
  <c r="C19" i="4" s="1"/>
  <c r="AE18" i="3"/>
  <c r="AG18" i="3" s="1"/>
  <c r="C20" i="4" s="1"/>
  <c r="AE16" i="3"/>
  <c r="AG16" i="3" s="1"/>
  <c r="C18" i="4" s="1"/>
  <c r="AE19" i="3"/>
  <c r="AG19" i="3" s="1"/>
  <c r="C21" i="4" s="1"/>
  <c r="AE23" i="3"/>
  <c r="AG23" i="3" s="1"/>
  <c r="C25" i="4" s="1"/>
  <c r="AE27" i="3"/>
  <c r="AG27" i="3" s="1"/>
  <c r="C29" i="4" s="1"/>
  <c r="AE30" i="3"/>
  <c r="AG30" i="3" s="1"/>
  <c r="C32" i="4" s="1"/>
  <c r="AE12" i="3"/>
  <c r="AG12" i="3" s="1"/>
  <c r="C14" i="4" s="1"/>
  <c r="AE13" i="3"/>
  <c r="AG13" i="3" s="1"/>
  <c r="C15" i="4" s="1"/>
  <c r="AE32" i="3"/>
  <c r="AG32" i="3" s="1"/>
  <c r="C34" i="4" s="1"/>
  <c r="AE31" i="3"/>
  <c r="AG31" i="3" s="1"/>
  <c r="C33" i="4" s="1"/>
  <c r="AE25" i="3"/>
  <c r="AG25" i="3" s="1"/>
  <c r="C27" i="4" s="1"/>
  <c r="AE26" i="3"/>
  <c r="AG26" i="3" s="1"/>
  <c r="C28" i="4" s="1"/>
  <c r="AE24" i="3"/>
  <c r="AG24" i="3" s="1"/>
  <c r="C26" i="4" s="1"/>
  <c r="AE28" i="3"/>
  <c r="AG28" i="3" s="1"/>
  <c r="C30" i="4" s="1"/>
  <c r="AE29" i="3"/>
  <c r="AG29" i="3" s="1"/>
  <c r="C31" i="4" s="1"/>
  <c r="AE9" i="3"/>
  <c r="AG9" i="3" s="1"/>
  <c r="C11" i="4" s="1"/>
  <c r="AE10" i="3"/>
  <c r="AG10" i="3" s="1"/>
  <c r="C12" i="4" s="1"/>
  <c r="AE20" i="3"/>
  <c r="AG20" i="3" s="1"/>
  <c r="C22" i="4" s="1"/>
  <c r="B47" i="2"/>
  <c r="O62" i="3" l="1"/>
  <c r="Q62" i="3" s="1"/>
  <c r="B64" i="4" s="1"/>
  <c r="O61" i="3"/>
  <c r="Q61" i="3" s="1"/>
  <c r="B63" i="4" s="1"/>
  <c r="O53" i="3"/>
  <c r="Q53" i="3" s="1"/>
  <c r="B55" i="4" s="1"/>
  <c r="O57" i="3"/>
  <c r="Q57" i="3" s="1"/>
  <c r="B59" i="4" s="1"/>
  <c r="O35" i="3"/>
  <c r="Q35" i="3" s="1"/>
  <c r="B37" i="4" s="1"/>
  <c r="O49" i="3"/>
  <c r="Q49" i="3" s="1"/>
  <c r="B51" i="4" s="1"/>
  <c r="O60" i="3"/>
  <c r="Q60" i="3" s="1"/>
  <c r="B62" i="4" s="1"/>
  <c r="O41" i="3"/>
  <c r="Q41" i="3" s="1"/>
  <c r="B43" i="4" s="1"/>
  <c r="O59" i="3"/>
  <c r="Q59" i="3" s="1"/>
  <c r="B61" i="4" s="1"/>
  <c r="O42" i="3"/>
  <c r="Q42" i="3" s="1"/>
  <c r="B44" i="4" s="1"/>
  <c r="O58" i="3"/>
  <c r="Q58" i="3" s="1"/>
  <c r="B60" i="4" s="1"/>
  <c r="O43" i="3"/>
  <c r="Q43" i="3" s="1"/>
  <c r="B45" i="4" s="1"/>
  <c r="O52" i="3"/>
  <c r="Q52" i="3" s="1"/>
  <c r="B54" i="4" s="1"/>
  <c r="O47" i="3"/>
  <c r="Q47" i="3" s="1"/>
  <c r="B49" i="4" s="1"/>
  <c r="O48" i="3"/>
  <c r="Q48" i="3" s="1"/>
  <c r="B50" i="4" s="1"/>
  <c r="O50" i="3"/>
  <c r="Q50" i="3" s="1"/>
  <c r="B52" i="4" s="1"/>
  <c r="O55" i="3"/>
  <c r="Q55" i="3" s="1"/>
  <c r="B57" i="4" s="1"/>
  <c r="O36" i="3"/>
  <c r="Q36" i="3" s="1"/>
  <c r="B38" i="4" s="1"/>
  <c r="O33" i="3"/>
  <c r="Q33" i="3" s="1"/>
  <c r="B35" i="4" s="1"/>
  <c r="O39" i="3"/>
  <c r="Q39" i="3" s="1"/>
  <c r="B41" i="4" s="1"/>
  <c r="O40" i="3"/>
  <c r="Q40" i="3" s="1"/>
  <c r="B42" i="4" s="1"/>
  <c r="O51" i="3"/>
  <c r="Q51" i="3" s="1"/>
  <c r="B53" i="4" s="1"/>
  <c r="O44" i="3"/>
  <c r="Q44" i="3" s="1"/>
  <c r="B46" i="4" s="1"/>
  <c r="O56" i="3"/>
  <c r="Q56" i="3" s="1"/>
  <c r="B58" i="4" s="1"/>
  <c r="O45" i="3"/>
  <c r="Q45" i="3" s="1"/>
  <c r="B47" i="4" s="1"/>
  <c r="O54" i="3"/>
  <c r="Q54" i="3" s="1"/>
  <c r="B56" i="4" s="1"/>
  <c r="O38" i="3"/>
  <c r="Q38" i="3" s="1"/>
  <c r="B40" i="4" s="1"/>
  <c r="O34" i="3"/>
  <c r="Q34" i="3" s="1"/>
  <c r="B36" i="4" s="1"/>
  <c r="O46" i="3"/>
  <c r="Q46" i="3" s="1"/>
  <c r="B48" i="4" s="1"/>
  <c r="O37" i="3"/>
  <c r="Q37" i="3" s="1"/>
  <c r="B39" i="4" s="1"/>
  <c r="O3" i="3"/>
  <c r="Q3" i="3" s="1"/>
  <c r="B5" i="4" s="1"/>
  <c r="O6" i="3"/>
  <c r="Q6" i="3" s="1"/>
  <c r="B8" i="4" s="1"/>
  <c r="O8" i="3"/>
  <c r="Q8" i="3" s="1"/>
  <c r="B10" i="4" s="1"/>
  <c r="O7" i="3"/>
  <c r="Q7" i="3" s="1"/>
  <c r="B9" i="4" s="1"/>
  <c r="O23" i="3"/>
  <c r="Q23" i="3" s="1"/>
  <c r="B25" i="4" s="1"/>
  <c r="O22" i="3"/>
  <c r="Q22" i="3" s="1"/>
  <c r="B24" i="4" s="1"/>
  <c r="O24" i="3"/>
  <c r="Q24" i="3" s="1"/>
  <c r="B26" i="4" s="1"/>
  <c r="O25" i="3"/>
  <c r="Q25" i="3" s="1"/>
  <c r="B27" i="4" s="1"/>
  <c r="O20" i="3"/>
  <c r="Q20" i="3" s="1"/>
  <c r="B22" i="4" s="1"/>
  <c r="O14" i="3"/>
  <c r="Q14" i="3" s="1"/>
  <c r="B16" i="4" s="1"/>
  <c r="O15" i="3"/>
  <c r="Q15" i="3" s="1"/>
  <c r="B17" i="4" s="1"/>
  <c r="O19" i="3"/>
  <c r="Q19" i="3" s="1"/>
  <c r="B21" i="4" s="1"/>
  <c r="O27" i="3"/>
  <c r="Q27" i="3" s="1"/>
  <c r="B29" i="4" s="1"/>
  <c r="O28" i="3"/>
  <c r="Q28" i="3" s="1"/>
  <c r="B30" i="4" s="1"/>
  <c r="O16" i="3"/>
  <c r="Q16" i="3" s="1"/>
  <c r="B18" i="4" s="1"/>
  <c r="O13" i="3"/>
  <c r="Q13" i="3" s="1"/>
  <c r="B15" i="4" s="1"/>
  <c r="O11" i="3"/>
  <c r="Q11" i="3" s="1"/>
  <c r="B13" i="4" s="1"/>
  <c r="O12" i="3"/>
  <c r="Q12" i="3" s="1"/>
  <c r="B14" i="4" s="1"/>
  <c r="O2" i="3"/>
  <c r="Q2" i="3" s="1"/>
  <c r="B4" i="4" s="1"/>
  <c r="O4" i="3"/>
  <c r="Q4" i="3" s="1"/>
  <c r="B6" i="4" s="1"/>
  <c r="O5" i="3"/>
  <c r="Q5" i="3" s="1"/>
  <c r="B7" i="4" s="1"/>
  <c r="O10" i="3"/>
  <c r="Q10" i="3" s="1"/>
  <c r="B12" i="4" s="1"/>
  <c r="O9" i="3"/>
  <c r="Q9" i="3" s="1"/>
  <c r="B11" i="4" s="1"/>
  <c r="O18" i="3"/>
  <c r="Q18" i="3" s="1"/>
  <c r="B20" i="4" s="1"/>
  <c r="O21" i="3"/>
  <c r="Q21" i="3" s="1"/>
  <c r="B23" i="4" s="1"/>
  <c r="O17" i="3"/>
  <c r="Q17" i="3" s="1"/>
  <c r="B19" i="4" s="1"/>
  <c r="O26" i="3"/>
  <c r="Q26" i="3" s="1"/>
  <c r="B28" i="4" s="1"/>
  <c r="O29" i="3"/>
  <c r="Q29" i="3" s="1"/>
  <c r="B31" i="4" s="1"/>
  <c r="O32" i="3"/>
  <c r="Q32" i="3" s="1"/>
  <c r="B34" i="4" s="1"/>
  <c r="O30" i="3"/>
  <c r="Q30" i="3" s="1"/>
  <c r="B32" i="4" s="1"/>
  <c r="O31" i="3"/>
  <c r="Q31" i="3" s="1"/>
  <c r="B33" i="4" s="1"/>
  <c r="D64" i="4" l="1"/>
  <c r="L64" i="4"/>
  <c r="D63" i="4"/>
  <c r="L63" i="4"/>
  <c r="D55" i="4"/>
  <c r="L55" i="4"/>
  <c r="D59" i="4"/>
  <c r="L59" i="4"/>
  <c r="L37" i="4"/>
  <c r="D37" i="4"/>
  <c r="F37" i="4" s="1"/>
  <c r="I37" i="4" s="1"/>
  <c r="E37" i="4"/>
  <c r="D51" i="4"/>
  <c r="L51" i="4"/>
  <c r="L62" i="4"/>
  <c r="D62" i="4"/>
  <c r="L43" i="4"/>
  <c r="D43" i="4"/>
  <c r="D61" i="4"/>
  <c r="L61" i="4"/>
  <c r="L44" i="4"/>
  <c r="D44" i="4"/>
  <c r="D60" i="4"/>
  <c r="L60" i="4"/>
  <c r="D45" i="4"/>
  <c r="L45" i="4"/>
  <c r="L54" i="4"/>
  <c r="D54" i="4"/>
  <c r="L49" i="4"/>
  <c r="D49" i="4"/>
  <c r="D50" i="4"/>
  <c r="L50" i="4"/>
  <c r="D52" i="4"/>
  <c r="L52" i="4"/>
  <c r="L57" i="4"/>
  <c r="D57" i="4"/>
  <c r="L38" i="4"/>
  <c r="D38" i="4"/>
  <c r="D35" i="4"/>
  <c r="L35" i="4"/>
  <c r="D41" i="4"/>
  <c r="L41" i="4"/>
  <c r="L42" i="4"/>
  <c r="D42" i="4"/>
  <c r="L53" i="4"/>
  <c r="D53" i="4"/>
  <c r="L46" i="4"/>
  <c r="D46" i="4"/>
  <c r="D58" i="4"/>
  <c r="L58" i="4"/>
  <c r="D47" i="4"/>
  <c r="L47" i="4"/>
  <c r="L56" i="4"/>
  <c r="D56" i="4"/>
  <c r="L40" i="4"/>
  <c r="D40" i="4"/>
  <c r="L36" i="4"/>
  <c r="D36" i="4"/>
  <c r="D48" i="4"/>
  <c r="L48" i="4"/>
  <c r="D39" i="4"/>
  <c r="L39" i="4"/>
  <c r="L5" i="4"/>
  <c r="D5" i="4"/>
  <c r="L8" i="4"/>
  <c r="D8" i="4"/>
  <c r="L10" i="4"/>
  <c r="D10" i="4"/>
  <c r="L9" i="4"/>
  <c r="D9" i="4"/>
  <c r="L25" i="4"/>
  <c r="D25" i="4"/>
  <c r="L24" i="4"/>
  <c r="D24" i="4"/>
  <c r="L26" i="4"/>
  <c r="D26" i="4"/>
  <c r="L27" i="4"/>
  <c r="D27" i="4"/>
  <c r="L22" i="4"/>
  <c r="D22" i="4"/>
  <c r="L16" i="4"/>
  <c r="D16" i="4"/>
  <c r="L17" i="4"/>
  <c r="D17" i="4"/>
  <c r="L21" i="4"/>
  <c r="D21" i="4"/>
  <c r="L29" i="4"/>
  <c r="D29" i="4"/>
  <c r="L30" i="4"/>
  <c r="D30" i="4"/>
  <c r="L18" i="4"/>
  <c r="D18" i="4"/>
  <c r="L15" i="4"/>
  <c r="D15" i="4"/>
  <c r="L13" i="4"/>
  <c r="D13" i="4"/>
  <c r="L14" i="4"/>
  <c r="D14" i="4"/>
  <c r="L4" i="4"/>
  <c r="D4" i="4"/>
  <c r="L6" i="4"/>
  <c r="D6" i="4"/>
  <c r="L7" i="4"/>
  <c r="D7" i="4"/>
  <c r="L12" i="4"/>
  <c r="D12" i="4"/>
  <c r="L11" i="4"/>
  <c r="D11" i="4"/>
  <c r="L20" i="4"/>
  <c r="D20" i="4"/>
  <c r="L23" i="4"/>
  <c r="D23" i="4"/>
  <c r="L19" i="4"/>
  <c r="D19" i="4"/>
  <c r="L28" i="4"/>
  <c r="D28" i="4"/>
  <c r="L31" i="4"/>
  <c r="D31" i="4"/>
  <c r="L34" i="4"/>
  <c r="D34" i="4"/>
  <c r="L32" i="4"/>
  <c r="D32" i="4"/>
  <c r="L33" i="4"/>
  <c r="D33" i="4"/>
  <c r="E38" i="4" l="1"/>
  <c r="F38" i="4"/>
  <c r="I38" i="4" s="1"/>
  <c r="E39" i="4"/>
  <c r="F39" i="4"/>
  <c r="I39" i="4" s="1"/>
  <c r="E61" i="4"/>
  <c r="H61" i="4" s="1"/>
  <c r="F61" i="4"/>
  <c r="E45" i="4"/>
  <c r="F45" i="4"/>
  <c r="I45" i="4" s="1"/>
  <c r="F46" i="4"/>
  <c r="I46" i="4" s="1"/>
  <c r="E46" i="4"/>
  <c r="F47" i="4"/>
  <c r="I47" i="4" s="1"/>
  <c r="E47" i="4"/>
  <c r="F57" i="4"/>
  <c r="I57" i="4" s="1"/>
  <c r="E57" i="4"/>
  <c r="E58" i="4"/>
  <c r="F58" i="4"/>
  <c r="I58" i="4" s="1"/>
  <c r="E56" i="4"/>
  <c r="F56" i="4"/>
  <c r="I56" i="4" s="1"/>
  <c r="E59" i="4"/>
  <c r="F59" i="4"/>
  <c r="I59" i="4" s="1"/>
  <c r="F41" i="4"/>
  <c r="I41" i="4" s="1"/>
  <c r="E41" i="4"/>
  <c r="E48" i="4"/>
  <c r="F48" i="4"/>
  <c r="I48" i="4" s="1"/>
  <c r="F50" i="4"/>
  <c r="I50" i="4" s="1"/>
  <c r="E50" i="4"/>
  <c r="E36" i="4"/>
  <c r="F36" i="4"/>
  <c r="I36" i="4" s="1"/>
  <c r="F43" i="4"/>
  <c r="I43" i="4" s="1"/>
  <c r="E43" i="4"/>
  <c r="E60" i="4"/>
  <c r="H60" i="4" s="1"/>
  <c r="F60" i="4"/>
  <c r="F52" i="4"/>
  <c r="I52" i="4" s="1"/>
  <c r="E52" i="4"/>
  <c r="E35" i="4"/>
  <c r="F35" i="4"/>
  <c r="I35" i="4" s="1"/>
  <c r="M64" i="4"/>
  <c r="N64" i="4"/>
  <c r="N63" i="4"/>
  <c r="M63" i="4"/>
  <c r="M55" i="4"/>
  <c r="N55" i="4"/>
  <c r="M59" i="4"/>
  <c r="N59" i="4"/>
  <c r="M37" i="4"/>
  <c r="N37" i="4"/>
  <c r="H37" i="4"/>
  <c r="G37" i="4"/>
  <c r="M51" i="4"/>
  <c r="N51" i="4"/>
  <c r="M62" i="4"/>
  <c r="N62" i="4"/>
  <c r="M43" i="4"/>
  <c r="N43" i="4"/>
  <c r="M61" i="4"/>
  <c r="N61" i="4"/>
  <c r="M44" i="4"/>
  <c r="N44" i="4"/>
  <c r="M60" i="4"/>
  <c r="N60" i="4"/>
  <c r="M45" i="4"/>
  <c r="N45" i="4"/>
  <c r="M54" i="4"/>
  <c r="N54" i="4"/>
  <c r="N49" i="4"/>
  <c r="M49" i="4"/>
  <c r="M50" i="4"/>
  <c r="N50" i="4"/>
  <c r="M52" i="4"/>
  <c r="N52" i="4"/>
  <c r="N57" i="4"/>
  <c r="M57" i="4"/>
  <c r="M38" i="4"/>
  <c r="N38" i="4"/>
  <c r="G38" i="4"/>
  <c r="H38" i="4"/>
  <c r="N35" i="4"/>
  <c r="M35" i="4"/>
  <c r="M41" i="4"/>
  <c r="N41" i="4"/>
  <c r="M42" i="4"/>
  <c r="N42" i="4"/>
  <c r="M53" i="4"/>
  <c r="N53" i="4"/>
  <c r="N46" i="4"/>
  <c r="M46" i="4"/>
  <c r="N58" i="4"/>
  <c r="M58" i="4"/>
  <c r="N47" i="4"/>
  <c r="M47" i="4"/>
  <c r="N56" i="4"/>
  <c r="M56" i="4"/>
  <c r="N40" i="4"/>
  <c r="M40" i="4"/>
  <c r="M36" i="4"/>
  <c r="N36" i="4"/>
  <c r="M48" i="4"/>
  <c r="N48" i="4"/>
  <c r="N39" i="4"/>
  <c r="M39" i="4"/>
  <c r="F64" i="4"/>
  <c r="I64" i="4" s="1"/>
  <c r="E64" i="4"/>
  <c r="F63" i="4"/>
  <c r="I63" i="4" s="1"/>
  <c r="E63" i="4"/>
  <c r="E55" i="4"/>
  <c r="F55" i="4"/>
  <c r="I55" i="4" s="1"/>
  <c r="E51" i="4"/>
  <c r="F51" i="4"/>
  <c r="I51" i="4" s="1"/>
  <c r="F62" i="4"/>
  <c r="I62" i="4" s="1"/>
  <c r="E62" i="4"/>
  <c r="F44" i="4"/>
  <c r="I44" i="4" s="1"/>
  <c r="E44" i="4"/>
  <c r="E54" i="4"/>
  <c r="F54" i="4"/>
  <c r="I54" i="4" s="1"/>
  <c r="F49" i="4"/>
  <c r="I49" i="4" s="1"/>
  <c r="E49" i="4"/>
  <c r="F42" i="4"/>
  <c r="I42" i="4" s="1"/>
  <c r="E42" i="4"/>
  <c r="F53" i="4"/>
  <c r="I53" i="4" s="1"/>
  <c r="E53" i="4"/>
  <c r="F40" i="4"/>
  <c r="I40" i="4" s="1"/>
  <c r="E40" i="4"/>
  <c r="E14" i="4"/>
  <c r="H14" i="4" s="1"/>
  <c r="F14" i="4"/>
  <c r="F8" i="4"/>
  <c r="I8" i="4" s="1"/>
  <c r="E8" i="4"/>
  <c r="E27" i="4"/>
  <c r="F27" i="4"/>
  <c r="I27" i="4" s="1"/>
  <c r="E21" i="4"/>
  <c r="F21" i="4"/>
  <c r="I21" i="4" s="1"/>
  <c r="M5" i="4"/>
  <c r="N5" i="4"/>
  <c r="M8" i="4"/>
  <c r="N8" i="4"/>
  <c r="M10" i="4"/>
  <c r="N10" i="4"/>
  <c r="M9" i="4"/>
  <c r="N9" i="4"/>
  <c r="M25" i="4"/>
  <c r="N25" i="4"/>
  <c r="M24" i="4"/>
  <c r="N24" i="4"/>
  <c r="M26" i="4"/>
  <c r="N26" i="4"/>
  <c r="M27" i="4"/>
  <c r="N27" i="4"/>
  <c r="M22" i="4"/>
  <c r="N22" i="4"/>
  <c r="M16" i="4"/>
  <c r="N16" i="4"/>
  <c r="M17" i="4"/>
  <c r="N17" i="4"/>
  <c r="M21" i="4"/>
  <c r="N21" i="4"/>
  <c r="M29" i="4"/>
  <c r="N29" i="4"/>
  <c r="M30" i="4"/>
  <c r="N30" i="4"/>
  <c r="M18" i="4"/>
  <c r="N18" i="4"/>
  <c r="M15" i="4"/>
  <c r="N15" i="4"/>
  <c r="M13" i="4"/>
  <c r="N13" i="4"/>
  <c r="M14" i="4"/>
  <c r="N14" i="4"/>
  <c r="M4" i="4"/>
  <c r="N4" i="4"/>
  <c r="N6" i="4"/>
  <c r="M6" i="4"/>
  <c r="M7" i="4"/>
  <c r="N7" i="4"/>
  <c r="M12" i="4"/>
  <c r="N12" i="4"/>
  <c r="M11" i="4"/>
  <c r="N11" i="4"/>
  <c r="M20" i="4"/>
  <c r="N20" i="4"/>
  <c r="M23" i="4"/>
  <c r="N23" i="4"/>
  <c r="M19" i="4"/>
  <c r="N19" i="4"/>
  <c r="M28" i="4"/>
  <c r="N28" i="4"/>
  <c r="M31" i="4"/>
  <c r="N31" i="4"/>
  <c r="M34" i="4"/>
  <c r="N34" i="4"/>
  <c r="M32" i="4"/>
  <c r="N32" i="4"/>
  <c r="M33" i="4"/>
  <c r="N33" i="4"/>
  <c r="F5" i="4"/>
  <c r="I5" i="4" s="1"/>
  <c r="E5" i="4"/>
  <c r="F10" i="4"/>
  <c r="I10" i="4" s="1"/>
  <c r="E10" i="4"/>
  <c r="F9" i="4"/>
  <c r="I9" i="4" s="1"/>
  <c r="E9" i="4"/>
  <c r="F25" i="4"/>
  <c r="I25" i="4" s="1"/>
  <c r="E25" i="4"/>
  <c r="F24" i="4"/>
  <c r="I24" i="4" s="1"/>
  <c r="E24" i="4"/>
  <c r="F26" i="4"/>
  <c r="I26" i="4" s="1"/>
  <c r="E26" i="4"/>
  <c r="F22" i="4"/>
  <c r="I22" i="4" s="1"/>
  <c r="E22" i="4"/>
  <c r="E16" i="4"/>
  <c r="F16" i="4"/>
  <c r="I16" i="4" s="1"/>
  <c r="F17" i="4"/>
  <c r="I17" i="4" s="1"/>
  <c r="E17" i="4"/>
  <c r="F29" i="4"/>
  <c r="I29" i="4" s="1"/>
  <c r="E29" i="4"/>
  <c r="F30" i="4"/>
  <c r="I30" i="4" s="1"/>
  <c r="E30" i="4"/>
  <c r="E18" i="4"/>
  <c r="F18" i="4"/>
  <c r="I18" i="4" s="1"/>
  <c r="E15" i="4"/>
  <c r="F15" i="4"/>
  <c r="I15" i="4" s="1"/>
  <c r="F13" i="4"/>
  <c r="I13" i="4" s="1"/>
  <c r="E13" i="4"/>
  <c r="F4" i="4"/>
  <c r="I4" i="4" s="1"/>
  <c r="E4" i="4"/>
  <c r="E6" i="4"/>
  <c r="F6" i="4"/>
  <c r="I6" i="4" s="1"/>
  <c r="E7" i="4"/>
  <c r="F7" i="4"/>
  <c r="I7" i="4" s="1"/>
  <c r="F12" i="4"/>
  <c r="I12" i="4" s="1"/>
  <c r="E12" i="4"/>
  <c r="F11" i="4"/>
  <c r="I11" i="4" s="1"/>
  <c r="E11" i="4"/>
  <c r="F20" i="4"/>
  <c r="I20" i="4" s="1"/>
  <c r="E20" i="4"/>
  <c r="F23" i="4"/>
  <c r="I23" i="4" s="1"/>
  <c r="E23" i="4"/>
  <c r="F19" i="4"/>
  <c r="I19" i="4" s="1"/>
  <c r="E19" i="4"/>
  <c r="F28" i="4"/>
  <c r="I28" i="4" s="1"/>
  <c r="E28" i="4"/>
  <c r="F31" i="4"/>
  <c r="I31" i="4" s="1"/>
  <c r="E31" i="4"/>
  <c r="E34" i="4"/>
  <c r="F34" i="4"/>
  <c r="I34" i="4" s="1"/>
  <c r="F32" i="4"/>
  <c r="I32" i="4" s="1"/>
  <c r="E32" i="4"/>
  <c r="F33" i="4"/>
  <c r="I33" i="4" s="1"/>
  <c r="E33" i="4"/>
  <c r="G39" i="4" l="1"/>
  <c r="H39" i="4"/>
  <c r="I61" i="4"/>
  <c r="G61" i="4"/>
  <c r="H45" i="4"/>
  <c r="G45" i="4"/>
  <c r="H46" i="4"/>
  <c r="G46" i="4"/>
  <c r="H47" i="4"/>
  <c r="G47" i="4"/>
  <c r="G21" i="4"/>
  <c r="H21" i="4"/>
  <c r="H59" i="4"/>
  <c r="G59" i="4"/>
  <c r="H36" i="4"/>
  <c r="G36" i="4"/>
  <c r="G43" i="4"/>
  <c r="H43" i="4"/>
  <c r="G57" i="4"/>
  <c r="H57" i="4"/>
  <c r="H58" i="4"/>
  <c r="G58" i="4"/>
  <c r="G56" i="4"/>
  <c r="H56" i="4"/>
  <c r="G41" i="4"/>
  <c r="H41" i="4"/>
  <c r="G48" i="4"/>
  <c r="H48" i="4"/>
  <c r="H50" i="4"/>
  <c r="G50" i="4"/>
  <c r="H52" i="4"/>
  <c r="G52" i="4"/>
  <c r="G35" i="4"/>
  <c r="H35" i="4"/>
  <c r="I60" i="4"/>
  <c r="G60" i="4"/>
  <c r="J37" i="4"/>
  <c r="O37" i="4" s="1"/>
  <c r="K37" i="4"/>
  <c r="J38" i="4"/>
  <c r="O38" i="4" s="1"/>
  <c r="K38" i="4"/>
  <c r="G64" i="4"/>
  <c r="H64" i="4"/>
  <c r="H63" i="4"/>
  <c r="G63" i="4"/>
  <c r="H55" i="4"/>
  <c r="G55" i="4"/>
  <c r="G51" i="4"/>
  <c r="H51" i="4"/>
  <c r="H62" i="4"/>
  <c r="G62" i="4"/>
  <c r="H44" i="4"/>
  <c r="G44" i="4"/>
  <c r="G54" i="4"/>
  <c r="H54" i="4"/>
  <c r="G49" i="4"/>
  <c r="H49" i="4"/>
  <c r="G42" i="4"/>
  <c r="H42" i="4"/>
  <c r="G53" i="4"/>
  <c r="H53" i="4"/>
  <c r="H40" i="4"/>
  <c r="G40" i="4"/>
  <c r="I14" i="4"/>
  <c r="G14" i="4"/>
  <c r="G8" i="4"/>
  <c r="H8" i="4"/>
  <c r="G27" i="4"/>
  <c r="H27" i="4"/>
  <c r="H5" i="4"/>
  <c r="G5" i="4"/>
  <c r="H10" i="4"/>
  <c r="G10" i="4"/>
  <c r="H9" i="4"/>
  <c r="G9" i="4"/>
  <c r="H25" i="4"/>
  <c r="G25" i="4"/>
  <c r="H24" i="4"/>
  <c r="G24" i="4"/>
  <c r="H26" i="4"/>
  <c r="G26" i="4"/>
  <c r="H22" i="4"/>
  <c r="G22" i="4"/>
  <c r="H16" i="4"/>
  <c r="G16" i="4"/>
  <c r="H17" i="4"/>
  <c r="G17" i="4"/>
  <c r="H29" i="4"/>
  <c r="G29" i="4"/>
  <c r="H30" i="4"/>
  <c r="G30" i="4"/>
  <c r="H18" i="4"/>
  <c r="G18" i="4"/>
  <c r="H15" i="4"/>
  <c r="G15" i="4"/>
  <c r="H13" i="4"/>
  <c r="G13" i="4"/>
  <c r="H4" i="4"/>
  <c r="G4" i="4"/>
  <c r="H6" i="4"/>
  <c r="G6" i="4"/>
  <c r="H7" i="4"/>
  <c r="G7" i="4"/>
  <c r="H12" i="4"/>
  <c r="G12" i="4"/>
  <c r="H11" i="4"/>
  <c r="G11" i="4"/>
  <c r="H20" i="4"/>
  <c r="G20" i="4"/>
  <c r="H23" i="4"/>
  <c r="G23" i="4"/>
  <c r="H19" i="4"/>
  <c r="G19" i="4"/>
  <c r="H28" i="4"/>
  <c r="G28" i="4"/>
  <c r="H31" i="4"/>
  <c r="G31" i="4"/>
  <c r="H34" i="4"/>
  <c r="G34" i="4"/>
  <c r="H32" i="4"/>
  <c r="G32" i="4"/>
  <c r="H33" i="4"/>
  <c r="G33" i="4"/>
  <c r="K39" i="4" l="1"/>
  <c r="J39" i="4"/>
  <c r="O39" i="4" s="1"/>
  <c r="J61" i="4"/>
  <c r="O61" i="4" s="1"/>
  <c r="K61" i="4"/>
  <c r="J45" i="4"/>
  <c r="O45" i="4" s="1"/>
  <c r="K45" i="4"/>
  <c r="K46" i="4"/>
  <c r="J46" i="4"/>
  <c r="O46" i="4" s="1"/>
  <c r="J47" i="4"/>
  <c r="O47" i="4" s="1"/>
  <c r="K47" i="4"/>
  <c r="K21" i="4"/>
  <c r="J21" i="4"/>
  <c r="O21" i="4" s="1"/>
  <c r="K59" i="4"/>
  <c r="J59" i="4"/>
  <c r="O59" i="4" s="1"/>
  <c r="K41" i="4"/>
  <c r="J41" i="4"/>
  <c r="O41" i="4" s="1"/>
  <c r="J36" i="4"/>
  <c r="O36" i="4" s="1"/>
  <c r="K36" i="4"/>
  <c r="J43" i="4"/>
  <c r="O43" i="4" s="1"/>
  <c r="K43" i="4"/>
  <c r="J57" i="4"/>
  <c r="O57" i="4" s="1"/>
  <c r="K57" i="4"/>
  <c r="K50" i="4"/>
  <c r="J50" i="4"/>
  <c r="O50" i="4" s="1"/>
  <c r="J58" i="4"/>
  <c r="O58" i="4" s="1"/>
  <c r="K58" i="4"/>
  <c r="K56" i="4"/>
  <c r="J56" i="4"/>
  <c r="O56" i="4" s="1"/>
  <c r="J48" i="4"/>
  <c r="O48" i="4" s="1"/>
  <c r="K48" i="4"/>
  <c r="J52" i="4"/>
  <c r="O52" i="4" s="1"/>
  <c r="K52" i="4"/>
  <c r="J35" i="4"/>
  <c r="O35" i="4" s="1"/>
  <c r="K35" i="4"/>
  <c r="K60" i="4"/>
  <c r="J60" i="4"/>
  <c r="O60" i="4" s="1"/>
  <c r="J14" i="4"/>
  <c r="O14" i="4" s="1"/>
  <c r="K14" i="4"/>
  <c r="J27" i="4"/>
  <c r="O27" i="4" s="1"/>
  <c r="K27" i="4"/>
  <c r="K64" i="4"/>
  <c r="J64" i="4"/>
  <c r="O64" i="4" s="1"/>
  <c r="J63" i="4"/>
  <c r="O63" i="4" s="1"/>
  <c r="K63" i="4"/>
  <c r="J55" i="4"/>
  <c r="O55" i="4" s="1"/>
  <c r="K55" i="4"/>
  <c r="J51" i="4"/>
  <c r="O51" i="4" s="1"/>
  <c r="K51" i="4"/>
  <c r="J62" i="4"/>
  <c r="O62" i="4" s="1"/>
  <c r="K62" i="4"/>
  <c r="J44" i="4"/>
  <c r="O44" i="4" s="1"/>
  <c r="K44" i="4"/>
  <c r="J54" i="4"/>
  <c r="O54" i="4" s="1"/>
  <c r="K54" i="4"/>
  <c r="J49" i="4"/>
  <c r="O49" i="4" s="1"/>
  <c r="K49" i="4"/>
  <c r="K42" i="4"/>
  <c r="J42" i="4"/>
  <c r="O42" i="4" s="1"/>
  <c r="K53" i="4"/>
  <c r="J53" i="4"/>
  <c r="O53" i="4" s="1"/>
  <c r="J40" i="4"/>
  <c r="O40" i="4" s="1"/>
  <c r="K40" i="4"/>
  <c r="J8" i="4"/>
  <c r="O8" i="4" s="1"/>
  <c r="K8" i="4"/>
  <c r="J5" i="4"/>
  <c r="O5" i="4" s="1"/>
  <c r="K5" i="4"/>
  <c r="J10" i="4"/>
  <c r="O10" i="4" s="1"/>
  <c r="K10" i="4"/>
  <c r="J9" i="4"/>
  <c r="O9" i="4" s="1"/>
  <c r="K9" i="4"/>
  <c r="J25" i="4"/>
  <c r="O25" i="4" s="1"/>
  <c r="K25" i="4"/>
  <c r="J24" i="4"/>
  <c r="O24" i="4" s="1"/>
  <c r="K24" i="4"/>
  <c r="J26" i="4"/>
  <c r="O26" i="4" s="1"/>
  <c r="K26" i="4"/>
  <c r="J22" i="4"/>
  <c r="O22" i="4" s="1"/>
  <c r="K22" i="4"/>
  <c r="J16" i="4"/>
  <c r="O16" i="4" s="1"/>
  <c r="K16" i="4"/>
  <c r="J17" i="4"/>
  <c r="O17" i="4" s="1"/>
  <c r="K17" i="4"/>
  <c r="J29" i="4"/>
  <c r="O29" i="4" s="1"/>
  <c r="K29" i="4"/>
  <c r="J30" i="4"/>
  <c r="O30" i="4" s="1"/>
  <c r="K30" i="4"/>
  <c r="J18" i="4"/>
  <c r="O18" i="4" s="1"/>
  <c r="K18" i="4"/>
  <c r="J15" i="4"/>
  <c r="O15" i="4" s="1"/>
  <c r="K15" i="4"/>
  <c r="J13" i="4"/>
  <c r="O13" i="4" s="1"/>
  <c r="K13" i="4"/>
  <c r="J4" i="4"/>
  <c r="O4" i="4" s="1"/>
  <c r="K4" i="4"/>
  <c r="J6" i="4"/>
  <c r="O6" i="4" s="1"/>
  <c r="K6" i="4"/>
  <c r="J7" i="4"/>
  <c r="O7" i="4" s="1"/>
  <c r="K7" i="4"/>
  <c r="J12" i="4"/>
  <c r="O12" i="4" s="1"/>
  <c r="K12" i="4"/>
  <c r="J11" i="4"/>
  <c r="O11" i="4" s="1"/>
  <c r="K11" i="4"/>
  <c r="J20" i="4"/>
  <c r="O20" i="4" s="1"/>
  <c r="K20" i="4"/>
  <c r="J23" i="4"/>
  <c r="O23" i="4" s="1"/>
  <c r="K23" i="4"/>
  <c r="J19" i="4"/>
  <c r="O19" i="4" s="1"/>
  <c r="K19" i="4"/>
  <c r="J28" i="4"/>
  <c r="O28" i="4" s="1"/>
  <c r="K28" i="4"/>
  <c r="J31" i="4"/>
  <c r="O31" i="4" s="1"/>
  <c r="K31" i="4"/>
  <c r="J34" i="4"/>
  <c r="O34" i="4" s="1"/>
  <c r="K34" i="4"/>
  <c r="J32" i="4"/>
  <c r="O32" i="4" s="1"/>
  <c r="K32" i="4"/>
  <c r="J33" i="4"/>
  <c r="O33" i="4" s="1"/>
  <c r="K33" i="4"/>
</calcChain>
</file>

<file path=xl/sharedStrings.xml><?xml version="1.0" encoding="utf-8"?>
<sst xmlns="http://schemas.openxmlformats.org/spreadsheetml/2006/main" count="159" uniqueCount="158">
  <si>
    <t>3D Steering / Ackermann Calculator</t>
  </si>
  <si>
    <t>좌표계: X = 차량 전방(+), Y = 차량 좌측(+), Z = 위쪽(+), 단위 = mm. 노란 셀은 입력값. 아래 좌표는 계산 검증용 예시이므로 실제 좌표로 교체.</t>
  </si>
  <si>
    <t>Vehicle</t>
  </si>
  <si>
    <t>Value</t>
  </si>
  <si>
    <t>Rack sweep</t>
  </si>
  <si>
    <t>Wheelbase [mm]</t>
  </si>
  <si>
    <t>Rack direction X</t>
  </si>
  <si>
    <t>Front track [mm]</t>
  </si>
  <si>
    <t>Rack direction Y</t>
  </si>
  <si>
    <t>Neutral toe - Left [deg]</t>
  </si>
  <si>
    <t>Rack direction Z</t>
  </si>
  <si>
    <t>Neutral toe - Right [deg]</t>
  </si>
  <si>
    <t>Sweep min [mm]</t>
  </si>
  <si>
    <t>Sweep max [mm]</t>
  </si>
  <si>
    <t>Step [mm]</t>
  </si>
  <si>
    <t>Point</t>
  </si>
  <si>
    <t>X [mm]</t>
  </si>
  <si>
    <t>Y [mm]</t>
  </si>
  <si>
    <t>Z [mm]</t>
  </si>
  <si>
    <t>Description</t>
  </si>
  <si>
    <t>LUO</t>
  </si>
  <si>
    <t>Left upper arm outer ball joint</t>
  </si>
  <si>
    <t>LLO</t>
  </si>
  <si>
    <t>Left lower arm outer ball joint</t>
  </si>
  <si>
    <t>LTO</t>
  </si>
  <si>
    <t>Left tie-rod outer</t>
  </si>
  <si>
    <t>LRI</t>
  </si>
  <si>
    <t>Left rack / tie-rod inner at neutral</t>
  </si>
  <si>
    <t>RUO</t>
  </si>
  <si>
    <t>Right upper arm outer ball joint</t>
  </si>
  <si>
    <t>RLO</t>
  </si>
  <si>
    <t>Right lower arm outer ball joint</t>
  </si>
  <si>
    <t>RTO</t>
  </si>
  <si>
    <t>Right tie-rod outer</t>
  </si>
  <si>
    <t>RRI</t>
  </si>
  <si>
    <t>Right rack / tie-rod inner at neutral</t>
  </si>
  <si>
    <t>모델 가정: 조향 시 UCA/LCA outer 두 점이 정의하는 steering axis는 고정되고, tie-rod outer가 그 축 주위를 회전함. 랙 inner는 지정한 rack direction으로 직선 이동. 범프/롤에 따른 암 위치 변화는 포함하지 않음.</t>
  </si>
  <si>
    <t>Derived geometry (do not edit)</t>
  </si>
  <si>
    <t>Left</t>
  </si>
  <si>
    <t>Right</t>
  </si>
  <si>
    <t>axis dx</t>
  </si>
  <si>
    <t>axis dy</t>
  </si>
  <si>
    <t>axis dz</t>
  </si>
  <si>
    <t>axis norm</t>
  </si>
  <si>
    <t>kx</t>
  </si>
  <si>
    <t>ky</t>
  </si>
  <si>
    <t>kz</t>
  </si>
  <si>
    <t>v x = TO - LO</t>
  </si>
  <si>
    <t>v y</t>
  </si>
  <si>
    <t>v z</t>
  </si>
  <si>
    <t>k·v</t>
  </si>
  <si>
    <t>v_parallel x</t>
  </si>
  <si>
    <t>v_parallel y</t>
  </si>
  <si>
    <t>v_parallel z</t>
  </si>
  <si>
    <t>v_perp x</t>
  </si>
  <si>
    <t>v_perp y</t>
  </si>
  <si>
    <t>v_perp z</t>
  </si>
  <si>
    <t>w x = k × v</t>
  </si>
  <si>
    <t>w y</t>
  </si>
  <si>
    <t>w z</t>
  </si>
  <si>
    <t>tie-rod neutral length</t>
  </si>
  <si>
    <t>neutral toe [rad]</t>
  </si>
  <si>
    <t>f0 x</t>
  </si>
  <si>
    <t>f0 y</t>
  </si>
  <si>
    <t>f0 z</t>
  </si>
  <si>
    <t>k·f0</t>
  </si>
  <si>
    <t>k×f0 x</t>
  </si>
  <si>
    <t>k×f0 y</t>
  </si>
  <si>
    <t>k×f0 z</t>
  </si>
  <si>
    <t>c0 x</t>
  </si>
  <si>
    <t>c0 y</t>
  </si>
  <si>
    <t>c0 z</t>
  </si>
  <si>
    <t>A0</t>
  </si>
  <si>
    <t>B0</t>
  </si>
  <si>
    <t>D0</t>
  </si>
  <si>
    <t>M0</t>
  </si>
  <si>
    <t>phi0</t>
  </si>
  <si>
    <t>q0</t>
  </si>
  <si>
    <t>alpha0</t>
  </si>
  <si>
    <t>root + at 0</t>
  </si>
  <si>
    <t>root - at 0</t>
  </si>
  <si>
    <t>branch sign</t>
  </si>
  <si>
    <t>Stroke</t>
  </si>
  <si>
    <t>L_Rx</t>
  </si>
  <si>
    <t>L_Ry</t>
  </si>
  <si>
    <t>L_Rz</t>
  </si>
  <si>
    <t>L_cx</t>
  </si>
  <si>
    <t>L_cy</t>
  </si>
  <si>
    <t>L_cz</t>
  </si>
  <si>
    <t>L_A</t>
  </si>
  <si>
    <t>L_B</t>
  </si>
  <si>
    <t>L_D</t>
  </si>
  <si>
    <t>L_M</t>
  </si>
  <si>
    <t>L_q</t>
  </si>
  <si>
    <t>L_phi</t>
  </si>
  <si>
    <t>L_alpha</t>
  </si>
  <si>
    <t>L_theta</t>
  </si>
  <si>
    <t>L_valid</t>
  </si>
  <si>
    <t>L_yaw_deg</t>
  </si>
  <si>
    <t>R_Rx</t>
  </si>
  <si>
    <t>R_Ry</t>
  </si>
  <si>
    <t>R_Rz</t>
  </si>
  <si>
    <t>R_cx</t>
  </si>
  <si>
    <t>R_cy</t>
  </si>
  <si>
    <t>R_cz</t>
  </si>
  <si>
    <t>R_A</t>
  </si>
  <si>
    <t>R_B</t>
  </si>
  <si>
    <t>R_D</t>
  </si>
  <si>
    <t>R_M</t>
  </si>
  <si>
    <t>R_q</t>
  </si>
  <si>
    <t>R_phi</t>
  </si>
  <si>
    <t>R_alpha</t>
  </si>
  <si>
    <t>R_theta</t>
  </si>
  <si>
    <t>R_valid</t>
  </si>
  <si>
    <t>R_yaw_deg</t>
  </si>
  <si>
    <t>Rack travel → wheel angles → Ackermann → turning radius</t>
  </si>
  <si>
    <t>Rack [mm]</t>
  </si>
  <si>
    <t>Left wheel [deg]</t>
  </si>
  <si>
    <t>Right wheel [deg]</t>
  </si>
  <si>
    <t>Turn</t>
  </si>
  <si>
    <t>Inner [deg]</t>
  </si>
  <si>
    <t>Outer [deg]</t>
  </si>
  <si>
    <t>Ackermann [%]</t>
  </si>
  <si>
    <t>R from inner [mm]</t>
  </si>
  <si>
    <t>R from outer [mm]</t>
  </si>
  <si>
    <t>R mean [mm]</t>
  </si>
  <si>
    <t>R mismatch [mm]</t>
  </si>
  <si>
    <t>Front ICR X [mm]</t>
  </si>
  <si>
    <t>Front ICR Y [mm]</t>
  </si>
  <si>
    <t>ICR rear-axle error [mm]</t>
  </si>
  <si>
    <t>Outer-front path R [mm]</t>
  </si>
  <si>
    <t>Geometry status</t>
  </si>
  <si>
    <t>사용 방법 / 계산 정의</t>
  </si>
  <si>
    <t>1</t>
  </si>
  <si>
    <t>Inputs 노란 셀에 실제 UCA outer, LCA outer, tie-rod outer, rack inner 좌표를 입력.</t>
  </si>
  <si>
    <t>2</t>
  </si>
  <si>
    <t>X 전방(+), Y 좌측(+), Z 위쪽(+). 좌우 모두 같은 전역 좌표계를 사용.</t>
  </si>
  <si>
    <t>3</t>
  </si>
  <si>
    <t>Rack direction은 랙 inner joint가 이동하는 직선 방향. (0,1,0)이면 순수 횡방향.</t>
  </si>
  <si>
    <t>4</t>
  </si>
  <si>
    <t>Steering_Calc의 Left/Right wheel angle은 steering-axis 회전각 자체가 아니라, 중립 휠 전방벡터를 3D로 회전시킨 뒤 XY 평면에 투영한 실제 휠 heading 각도.</t>
  </si>
  <si>
    <t>5</t>
  </si>
  <si>
    <t>Ackermann % = [cot(outer)-cot(inner)] / (Track/Wheelbase) × 100. 100%가 pure Ackermann.</t>
  </si>
  <si>
    <t>6</t>
  </si>
  <si>
    <t>R from inner / outer는 rear-axle centerline 기준으로 각 휠이 요구하는 회전반경. 두 값 차이가 0이면 기하학적으로 pure Ackermann에 해당.</t>
  </si>
  <si>
    <t>7</t>
  </si>
  <si>
    <t>Front ICR X는 두 전륜 휠 축의 교점 X좌표(프론트 액슬을 x=0으로 둠). Pure Ackermann이면 -Wheelbase가 됨.</t>
  </si>
  <si>
    <t>8</t>
  </si>
  <si>
    <t>Outer-front path R은 R mean을 사용한 근사 외측 전륜 궤적 반경. 차체 오버행/폭을 포함한 실제 swept radius는 별도 차체 치수가 필요.</t>
  </si>
  <si>
    <t>9</t>
  </si>
  <si>
    <t>이 시트는 고정 ride height의 steering-only 모델. bump steer/roll steer까지 보려면 UCA/LCA inboard 좌표와 암 구속식이 추가로 필요.</t>
  </si>
  <si>
    <t>Internal formula check (no user input needed)</t>
  </si>
  <si>
    <t>Check</t>
  </si>
  <si>
    <t>Expected</t>
  </si>
  <si>
    <t>Zero rack row</t>
  </si>
  <si>
    <t>Straight / blank Ackermann</t>
  </si>
  <si>
    <t>No formula errors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</si>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</sst>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0"/>
    <numFmt numFmtId="178" formatCode="0.0"/>
  </numFmts>
  <fonts count="8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17365D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8"/>
      <name val="BatangChe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8C8D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3" fillId="4" borderId="1" xfId="1" applyFont="1" applyFill="1" applyBorder="1" applyAlignment="1">
      <alignment horizontal="center" vertical="center"/>
    </xf>
    <xf numFmtId="176" fontId="0" fillId="3" borderId="0" xfId="1" applyNumberFormat="1" applyFont="1" applyFill="1"/>
    <xf numFmtId="177" fontId="0" fillId="0" borderId="0" xfId="1" applyNumberFormat="1" applyFont="1"/>
    <xf numFmtId="0" fontId="3" fillId="4" borderId="1" xfId="1" applyFont="1" applyFill="1" applyBorder="1" applyAlignment="1">
      <alignment horizontal="center" vertical="center" wrapText="1"/>
    </xf>
    <xf numFmtId="0" fontId="0" fillId="0" borderId="0" xfId="1" applyFont="1" applyAlignment="1">
      <alignment wrapText="1"/>
    </xf>
    <xf numFmtId="177" fontId="0" fillId="0" borderId="0" xfId="1" applyNumberFormat="1" applyFont="1" applyAlignment="1">
      <alignment wrapText="1"/>
    </xf>
    <xf numFmtId="2" fontId="0" fillId="0" borderId="0" xfId="1" applyNumberFormat="1" applyFont="1"/>
    <xf numFmtId="176" fontId="0" fillId="0" borderId="0" xfId="1" applyNumberFormat="1" applyFont="1"/>
    <xf numFmtId="178" fontId="0" fillId="0" borderId="0" xfId="1" applyNumberFormat="1" applyFont="1"/>
    <xf numFmtId="0" fontId="0" fillId="0" borderId="0" xfId="1" applyFont="1" applyAlignment="1">
      <alignment horizontal="center"/>
    </xf>
    <xf numFmtId="0" fontId="5" fillId="4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wrapText="1"/>
    </xf>
    <xf numFmtId="0" fontId="0" fillId="5" borderId="0" xfId="1" applyFont="1" applyFill="1" applyAlignment="1">
      <alignment vertical="center" wrapText="1"/>
    </xf>
    <xf numFmtId="0" fontId="4" fillId="2" borderId="0" xfId="1" applyFont="1" applyFill="1" applyAlignment="1">
      <alignment horizontal="center"/>
    </xf>
    <xf numFmtId="0" fontId="3" fillId="4" borderId="1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1"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en-US"/>
              <a:t>Wheel angle vs rack travel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Left wheel [deg]</c:v>
          </c:tx>
          <c:marker>
            <c:symbol val="none"/>
          </c:marker>
          <c:cat>
            <c:numRef>
              <c:f>Steering_Calc!$A$4:$A$34</c:f>
              <c:numCache>
                <c:formatCode>0.00</c:formatCode>
                <c:ptCount val="31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</c:numCache>
            </c:numRef>
          </c:cat>
          <c:val>
            <c:numRef>
              <c:f>Steering_Calc!$B$4:$B$34</c:f>
              <c:numCache>
                <c:formatCode>0.000</c:formatCode>
                <c:ptCount val="31"/>
                <c:pt idx="0">
                  <c:v>-23.382210492064207</c:v>
                </c:pt>
                <c:pt idx="1">
                  <c:v>-23.031572814599087</c:v>
                </c:pt>
                <c:pt idx="2">
                  <c:v>-22.680201501063042</c:v>
                </c:pt>
                <c:pt idx="3">
                  <c:v>-22.328072030634157</c:v>
                </c:pt>
                <c:pt idx="4">
                  <c:v>-21.975159622095237</c:v>
                </c:pt>
                <c:pt idx="5">
                  <c:v>-21.62143922267148</c:v>
                </c:pt>
                <c:pt idx="6">
                  <c:v>-21.266885496637048</c:v>
                </c:pt>
                <c:pt idx="7">
                  <c:v>-20.911472813677911</c:v>
                </c:pt>
                <c:pt idx="8">
                  <c:v>-20.555175236997517</c:v>
                </c:pt>
                <c:pt idx="9">
                  <c:v>-20.197966511150977</c:v>
                </c:pt>
                <c:pt idx="10">
                  <c:v>-19.839820049593371</c:v>
                </c:pt>
                <c:pt idx="11">
                  <c:v>-19.48070892192699</c:v>
                </c:pt>
                <c:pt idx="12">
                  <c:v>-19.120605840832141</c:v>
                </c:pt>
                <c:pt idx="13">
                  <c:v>-18.759483148664756</c:v>
                </c:pt>
                <c:pt idx="14">
                  <c:v>-18.397312803704775</c:v>
                </c:pt>
                <c:pt idx="15">
                  <c:v>-18.034066366036509</c:v>
                </c:pt>
                <c:pt idx="16">
                  <c:v>-17.669714983043892</c:v>
                </c:pt>
                <c:pt idx="17">
                  <c:v>-17.304229374500604</c:v>
                </c:pt>
                <c:pt idx="18">
                  <c:v>-16.937579817235839</c:v>
                </c:pt>
                <c:pt idx="19">
                  <c:v>-16.569736129354112</c:v>
                </c:pt>
                <c:pt idx="20">
                  <c:v>-16.200667653988138</c:v>
                </c:pt>
                <c:pt idx="21">
                  <c:v>-15.830343242561698</c:v>
                </c:pt>
                <c:pt idx="22">
                  <c:v>-15.458731237538212</c:v>
                </c:pt>
                <c:pt idx="23">
                  <c:v>-15.085799454631243</c:v>
                </c:pt>
                <c:pt idx="24">
                  <c:v>-14.711515164449178</c:v>
                </c:pt>
                <c:pt idx="25">
                  <c:v>-14.335845073548183</c:v>
                </c:pt>
                <c:pt idx="26">
                  <c:v>-13.958755304863567</c:v>
                </c:pt>
                <c:pt idx="27">
                  <c:v>-13.580211377489961</c:v>
                </c:pt>
                <c:pt idx="28">
                  <c:v>-13.200178185777748</c:v>
                </c:pt>
                <c:pt idx="29">
                  <c:v>-12.818619977713336</c:v>
                </c:pt>
                <c:pt idx="30">
                  <c:v>-12.435500332547011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81-404D-8DA5-34CE232441B5}"/>
            </c:ext>
          </c:extLst>
        </c:ser>
        <c:ser>
          <c:idx val="1"/>
          <c:order val="1"/>
          <c:tx>
            <c:v>Right wheel [deg]</c:v>
          </c:tx>
          <c:marker>
            <c:symbol val="none"/>
          </c:marker>
          <c:cat>
            <c:numRef>
              <c:f>Steering_Calc!$A$4:$A$34</c:f>
              <c:numCache>
                <c:formatCode>0.00</c:formatCode>
                <c:ptCount val="31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</c:numCache>
            </c:numRef>
          </c:cat>
          <c:val>
            <c:numRef>
              <c:f>Steering_Calc!$C$4:$C$34</c:f>
              <c:numCache>
                <c:formatCode>0.000</c:formatCode>
                <c:ptCount val="31"/>
                <c:pt idx="0">
                  <c:v>-38.075272281961773</c:v>
                </c:pt>
                <c:pt idx="1">
                  <c:v>-37.096952420737558</c:v>
                </c:pt>
                <c:pt idx="2">
                  <c:v>-36.141795169058689</c:v>
                </c:pt>
                <c:pt idx="3">
                  <c:v>-35.208507709164365</c:v>
                </c:pt>
                <c:pt idx="4">
                  <c:v>-34.295910708197056</c:v>
                </c:pt>
                <c:pt idx="5">
                  <c:v>-33.402924569272614</c:v>
                </c:pt>
                <c:pt idx="6">
                  <c:v>-32.528557775995552</c:v>
                </c:pt>
                <c:pt idx="7">
                  <c:v>-31.671896951601102</c:v>
                </c:pt>
                <c:pt idx="8">
                  <c:v>-30.832098332520761</c:v>
                </c:pt>
                <c:pt idx="9">
                  <c:v>-30.00838041652279</c:v>
                </c:pt>
                <c:pt idx="10">
                  <c:v>-29.200017592334312</c:v>
                </c:pt>
                <c:pt idx="11">
                  <c:v>-28.406334594182532</c:v>
                </c:pt>
                <c:pt idx="12">
                  <c:v>-27.626701653465311</c:v>
                </c:pt>
                <c:pt idx="13">
                  <c:v>-26.860530242589384</c:v>
                </c:pt>
                <c:pt idx="14">
                  <c:v>-26.107269324257402</c:v>
                </c:pt>
                <c:pt idx="15">
                  <c:v>-25.366402034157577</c:v>
                </c:pt>
                <c:pt idx="16">
                  <c:v>-24.637442736885497</c:v>
                </c:pt>
                <c:pt idx="17">
                  <c:v>-23.919934404596802</c:v>
                </c:pt>
                <c:pt idx="18">
                  <c:v>-23.213446275804667</c:v>
                </c:pt>
                <c:pt idx="19">
                  <c:v>-22.517571758251627</c:v>
                </c:pt>
                <c:pt idx="20">
                  <c:v>-21.831926545172564</c:v>
                </c:pt>
                <c:pt idx="21">
                  <c:v>-21.156146918745762</c:v>
                </c:pt>
                <c:pt idx="22">
                  <c:v>-20.489888218266518</c:v>
                </c:pt>
                <c:pt idx="23">
                  <c:v>-19.832823453713928</c:v>
                </c:pt>
                <c:pt idx="24">
                  <c:v>-19.184642048019121</c:v>
                </c:pt>
                <c:pt idx="25">
                  <c:v>-18.545048693576856</c:v>
                </c:pt>
                <c:pt idx="26">
                  <c:v>-17.913762310431675</c:v>
                </c:pt>
                <c:pt idx="27">
                  <c:v>-17.290515095184379</c:v>
                </c:pt>
                <c:pt idx="28">
                  <c:v>-16.675051651039816</c:v>
                </c:pt>
                <c:pt idx="29">
                  <c:v>-16.067128190598286</c:v>
                </c:pt>
                <c:pt idx="30">
                  <c:v>-15.466511804006489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81-404D-8DA5-34CE23244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en-US"/>
              <a:t>Ackermann % vs rack travel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F9C5-434A-B54C-B574F826772E}"/>
            </c:ext>
          </c:extLst>
        </c:ser>
        <c:ser>
          <c:idx val="1"/>
          <c:order val="1"/>
          <c:tx>
            <c:v>Ackermann %</c:v>
          </c:tx>
          <c:marker>
            <c:symbol val="none"/>
          </c:marker>
          <c:cat>
            <c:numRef>
              <c:f>Steering_Calc!$A$4:$A$34</c:f>
              <c:numCache>
                <c:formatCode>0.00</c:formatCode>
                <c:ptCount val="31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</c:numCache>
            </c:numRef>
          </c:cat>
          <c:val>
            <c:numRef>
              <c:f>Steering_Calc!$G$4:$G$34</c:f>
              <c:numCache>
                <c:formatCode>0.000</c:formatCode>
                <c:ptCount val="31"/>
                <c:pt idx="0">
                  <c:v>134.72577617462269</c:v>
                </c:pt>
                <c:pt idx="1">
                  <c:v>133.88237719227664</c:v>
                </c:pt>
                <c:pt idx="2">
                  <c:v>133.07528841722655</c:v>
                </c:pt>
                <c:pt idx="3">
                  <c:v>132.30225987128043</c:v>
                </c:pt>
                <c:pt idx="4">
                  <c:v>131.56126056754925</c:v>
                </c:pt>
                <c:pt idx="5">
                  <c:v>130.85045075687822</c:v>
                </c:pt>
                <c:pt idx="6">
                  <c:v>130.16815851296482</c:v>
                </c:pt>
                <c:pt idx="7">
                  <c:v>129.51285985877792</c:v>
                </c:pt>
                <c:pt idx="8">
                  <c:v>128.88316180411121</c:v>
                </c:pt>
                <c:pt idx="9">
                  <c:v>128.27778779220932</c:v>
                </c:pt>
                <c:pt idx="10">
                  <c:v>127.69556515239768</c:v>
                </c:pt>
                <c:pt idx="11">
                  <c:v>127.13541423280938</c:v>
                </c:pt>
                <c:pt idx="12">
                  <c:v>126.59633894795552</c:v>
                </c:pt>
                <c:pt idx="13">
                  <c:v>126.07741852388175</c:v>
                </c:pt>
                <c:pt idx="14">
                  <c:v>125.57780026191443</c:v>
                </c:pt>
                <c:pt idx="15">
                  <c:v>125.09669317274195</c:v>
                </c:pt>
                <c:pt idx="16">
                  <c:v>124.63336235732767</c:v>
                </c:pt>
                <c:pt idx="17">
                  <c:v>124.18712403134077</c:v>
                </c:pt>
                <c:pt idx="18">
                  <c:v>123.75734110620651</c:v>
                </c:pt>
                <c:pt idx="19">
                  <c:v>123.3434192534278</c:v>
                </c:pt>
                <c:pt idx="20">
                  <c:v>122.94480338992746</c:v>
                </c:pt>
                <c:pt idx="21">
                  <c:v>122.56097453144561</c:v>
                </c:pt>
                <c:pt idx="22">
                  <c:v>122.19144696872108</c:v>
                </c:pt>
                <c:pt idx="23">
                  <c:v>121.83576572759173</c:v>
                </c:pt>
                <c:pt idx="24">
                  <c:v>121.49350427961183</c:v>
                </c:pt>
                <c:pt idx="25">
                  <c:v>121.16426247430709</c:v>
                </c:pt>
                <c:pt idx="26">
                  <c:v>120.84766466805652</c:v>
                </c:pt>
                <c:pt idx="27">
                  <c:v>120.54335802788067</c:v>
                </c:pt>
                <c:pt idx="28">
                  <c:v>120.25101099122652</c:v>
                </c:pt>
                <c:pt idx="29">
                  <c:v>119.97031186518281</c:v>
                </c:pt>
                <c:pt idx="30">
                  <c:v>119.70096755066267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C5-434A-B54C-B574F8267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19</xdr:row>
      <xdr:rowOff>0</xdr:rowOff>
    </xdr:from>
    <xdr:to>
      <xdr:col>26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H14" sqref="H14"/>
    </sheetView>
  </sheetViews>
  <sheetFormatPr defaultRowHeight="13.5"/>
  <cols>
    <col min="1" max="1" width="24" customWidth="1"/>
    <col min="2" max="2" width="9.8125" customWidth="1"/>
    <col min="3" max="3" width="12.25" customWidth="1"/>
    <col min="4" max="4" width="13.5" customWidth="1"/>
    <col min="5" max="5" width="36" customWidth="1"/>
  </cols>
  <sheetData>
    <row r="1" spans="1:6" ht="14" customHeight="1">
      <c r="A1" s="12" t="s">
        <v>0</v>
      </c>
      <c r="B1" s="12"/>
      <c r="C1" s="12"/>
      <c r="D1" s="12"/>
      <c r="E1" s="12"/>
      <c r="F1" s="12"/>
    </row>
    <row r="3" spans="1:6" ht="36.4" customHeight="1">
      <c r="A3" s="13" t="s">
        <v>1</v>
      </c>
      <c r="B3" s="13"/>
      <c r="C3" s="13"/>
      <c r="D3" s="13"/>
      <c r="E3" s="13"/>
      <c r="F3" s="13"/>
    </row>
    <row r="5" spans="1:6" ht="13.9">
      <c r="A5" s="1" t="s">
        <v>2</v>
      </c>
      <c r="B5" s="1" t="s">
        <v>3</v>
      </c>
      <c r="D5" s="1" t="s">
        <v>4</v>
      </c>
      <c r="E5" s="1" t="s">
        <v>3</v>
      </c>
    </row>
    <row r="6" spans="1:6">
      <c r="A6" t="s">
        <v>5</v>
      </c>
      <c r="B6" s="2">
        <v>1300</v>
      </c>
      <c r="D6" t="s">
        <v>6</v>
      </c>
      <c r="E6" s="2">
        <v>0</v>
      </c>
    </row>
    <row r="7" spans="1:6">
      <c r="A7" t="s">
        <v>7</v>
      </c>
      <c r="B7" s="2">
        <v>1000</v>
      </c>
      <c r="D7" t="s">
        <v>8</v>
      </c>
      <c r="E7" s="2">
        <v>1</v>
      </c>
    </row>
    <row r="8" spans="1:6">
      <c r="A8" t="s">
        <v>9</v>
      </c>
      <c r="B8" s="2">
        <v>0</v>
      </c>
      <c r="D8" t="s">
        <v>10</v>
      </c>
      <c r="E8" s="2">
        <v>0</v>
      </c>
    </row>
    <row r="9" spans="1:6">
      <c r="A9" t="s">
        <v>11</v>
      </c>
      <c r="B9" s="2">
        <v>0</v>
      </c>
      <c r="D9" t="s">
        <v>12</v>
      </c>
      <c r="E9" s="2">
        <v>-60</v>
      </c>
    </row>
    <row r="10" spans="1:6">
      <c r="D10" t="s">
        <v>13</v>
      </c>
      <c r="E10" s="2">
        <v>60</v>
      </c>
    </row>
    <row r="11" spans="1:6">
      <c r="D11" t="s">
        <v>14</v>
      </c>
      <c r="E11" s="2">
        <v>1</v>
      </c>
    </row>
    <row r="13" spans="1:6" ht="13.9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</row>
    <row r="14" spans="1:6">
      <c r="A14" t="s">
        <v>20</v>
      </c>
      <c r="B14" s="2">
        <v>885.48099999999999</v>
      </c>
      <c r="C14" s="2">
        <v>417.13600000000002</v>
      </c>
      <c r="D14" s="2">
        <v>325.98599999999999</v>
      </c>
      <c r="E14" t="s">
        <v>21</v>
      </c>
    </row>
    <row r="15" spans="1:6">
      <c r="A15" t="s">
        <v>22</v>
      </c>
      <c r="B15" s="2">
        <v>897.36900000000003</v>
      </c>
      <c r="C15" s="2">
        <v>447.40600000000001</v>
      </c>
      <c r="D15" s="2">
        <v>159.113</v>
      </c>
      <c r="E15" t="s">
        <v>23</v>
      </c>
    </row>
    <row r="16" spans="1:6">
      <c r="A16" t="s">
        <v>24</v>
      </c>
      <c r="B16" s="2">
        <v>1039.644</v>
      </c>
      <c r="C16" s="2">
        <v>479.75099999999998</v>
      </c>
      <c r="D16" s="2">
        <v>210.50200000000001</v>
      </c>
      <c r="E16" t="s">
        <v>25</v>
      </c>
    </row>
    <row r="17" spans="1:6">
      <c r="A17" t="s">
        <v>26</v>
      </c>
      <c r="B17" s="2">
        <v>919.87300000000005</v>
      </c>
      <c r="C17" s="2">
        <v>257.45400000000001</v>
      </c>
      <c r="D17" s="2">
        <v>182.18899999999999</v>
      </c>
      <c r="E17" t="s">
        <v>27</v>
      </c>
    </row>
    <row r="18" spans="1:6">
      <c r="A18" t="s">
        <v>28</v>
      </c>
      <c r="B18" s="2">
        <f>B14</f>
        <v>885.48099999999999</v>
      </c>
      <c r="C18" s="2">
        <f>C14*-1</f>
        <v>-417.13600000000002</v>
      </c>
      <c r="D18" s="2">
        <f>D14</f>
        <v>325.98599999999999</v>
      </c>
      <c r="E18" t="s">
        <v>29</v>
      </c>
    </row>
    <row r="19" spans="1:6">
      <c r="A19" t="s">
        <v>30</v>
      </c>
      <c r="B19" s="2">
        <f>B15</f>
        <v>897.36900000000003</v>
      </c>
      <c r="C19" s="2">
        <f>C15*-1</f>
        <v>-447.40600000000001</v>
      </c>
      <c r="D19" s="2">
        <f>D15</f>
        <v>159.113</v>
      </c>
      <c r="E19" t="s">
        <v>31</v>
      </c>
    </row>
    <row r="20" spans="1:6">
      <c r="A20" t="s">
        <v>32</v>
      </c>
      <c r="B20" s="2">
        <f>B16</f>
        <v>1039.644</v>
      </c>
      <c r="C20" s="2">
        <f>C16*-1</f>
        <v>-479.75099999999998</v>
      </c>
      <c r="D20" s="2">
        <f>D16</f>
        <v>210.50200000000001</v>
      </c>
      <c r="E20" t="s">
        <v>33</v>
      </c>
    </row>
    <row r="21" spans="1:6">
      <c r="A21" t="s">
        <v>34</v>
      </c>
      <c r="B21" s="2">
        <f>B17</f>
        <v>919.87300000000005</v>
      </c>
      <c r="C21" s="2">
        <f>C17*-1</f>
        <v>-257.45400000000001</v>
      </c>
      <c r="D21" s="2">
        <f>D17</f>
        <v>182.18899999999999</v>
      </c>
      <c r="E21" t="s">
        <v>35</v>
      </c>
    </row>
    <row r="23" spans="1:6">
      <c r="A23" s="14" t="s">
        <v>36</v>
      </c>
      <c r="B23" s="14"/>
      <c r="C23" s="14"/>
      <c r="D23" s="14"/>
      <c r="E23" s="14"/>
      <c r="F23" s="14"/>
    </row>
    <row r="24" spans="1:6">
      <c r="A24" s="14"/>
      <c r="B24" s="14"/>
      <c r="C24" s="14"/>
      <c r="D24" s="14"/>
      <c r="E24" s="14"/>
      <c r="F24" s="14"/>
    </row>
    <row r="25" spans="1:6">
      <c r="A25" s="14"/>
      <c r="B25" s="14"/>
      <c r="C25" s="14"/>
      <c r="D25" s="14"/>
      <c r="E25" s="14"/>
      <c r="F25" s="14"/>
    </row>
  </sheetData>
  <mergeCells count="3">
    <mergeCell ref="A1:F1"/>
    <mergeCell ref="A3:F3"/>
    <mergeCell ref="A23:F2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topLeftCell="A2" workbookViewId="0"/>
  </sheetViews>
  <sheetFormatPr defaultRowHeight="13.5"/>
  <cols>
    <col min="1" max="1" width="24" customWidth="1"/>
    <col min="2" max="3" width="11.75" customWidth="1"/>
  </cols>
  <sheetData>
    <row r="1" spans="1:3" ht="27.75">
      <c r="A1" s="4" t="s">
        <v>37</v>
      </c>
      <c r="B1" s="4" t="s">
        <v>38</v>
      </c>
      <c r="C1" s="4" t="s">
        <v>39</v>
      </c>
    </row>
    <row r="2" spans="1:3">
      <c r="A2" s="5"/>
      <c r="B2" s="5"/>
      <c r="C2" s="5"/>
    </row>
    <row r="3" spans="1:3">
      <c r="A3" s="5" t="s">
        <v>40</v>
      </c>
      <c r="B3" s="6">
        <f>Inputs!B14-Inputs!B15</f>
        <v>-11.888000000000034</v>
      </c>
      <c r="C3" s="6">
        <f>Inputs!B18-Inputs!B19</f>
        <v>-11.888000000000034</v>
      </c>
    </row>
    <row r="4" spans="1:3">
      <c r="A4" s="5" t="s">
        <v>41</v>
      </c>
      <c r="B4" s="6">
        <f>Inputs!C14-Inputs!C15</f>
        <v>-30.269999999999982</v>
      </c>
      <c r="C4" s="6">
        <f>Inputs!C18-Inputs!C19</f>
        <v>30.269999999999982</v>
      </c>
    </row>
    <row r="5" spans="1:3">
      <c r="A5" s="5" t="s">
        <v>42</v>
      </c>
      <c r="B5" s="6">
        <f>Inputs!D14-Inputs!D15</f>
        <v>166.87299999999999</v>
      </c>
      <c r="C5" s="6">
        <f>Inputs!D18-Inputs!D19</f>
        <v>166.87299999999999</v>
      </c>
    </row>
    <row r="6" spans="1:3">
      <c r="A6" s="5" t="s">
        <v>43</v>
      </c>
      <c r="B6" s="6">
        <f>SQRT(B3^2+B4^2+B5^2)</f>
        <v>170.01233947275708</v>
      </c>
      <c r="C6" s="6">
        <f>SQRT(C3^2+C4^2+C5^2)</f>
        <v>170.01233947275708</v>
      </c>
    </row>
    <row r="7" spans="1:3">
      <c r="A7" s="5" t="s">
        <v>44</v>
      </c>
      <c r="B7" s="6">
        <f>B3/B6</f>
        <v>-6.9924336297395501E-2</v>
      </c>
      <c r="C7" s="6">
        <f>C3/C6</f>
        <v>-6.9924336297395501E-2</v>
      </c>
    </row>
    <row r="8" spans="1:3">
      <c r="A8" s="5" t="s">
        <v>45</v>
      </c>
      <c r="B8" s="6">
        <f>B4/B6</f>
        <v>-0.17804590004392282</v>
      </c>
      <c r="C8" s="6">
        <f>C4/C6</f>
        <v>0.17804590004392282</v>
      </c>
    </row>
    <row r="9" spans="1:3">
      <c r="A9" s="5" t="s">
        <v>46</v>
      </c>
      <c r="B9" s="6">
        <f>B5/B6</f>
        <v>0.98153463752988268</v>
      </c>
      <c r="C9" s="6">
        <f>C5/C6</f>
        <v>0.98153463752988268</v>
      </c>
    </row>
    <row r="10" spans="1:3">
      <c r="A10" s="5"/>
      <c r="B10" s="6"/>
      <c r="C10" s="6"/>
    </row>
    <row r="11" spans="1:3">
      <c r="A11" s="5" t="s">
        <v>47</v>
      </c>
      <c r="B11" s="6">
        <f>Inputs!B16-Inputs!B15</f>
        <v>142.27499999999998</v>
      </c>
      <c r="C11" s="6">
        <f>Inputs!B20-Inputs!B19</f>
        <v>142.27499999999998</v>
      </c>
    </row>
    <row r="12" spans="1:3">
      <c r="A12" s="5" t="s">
        <v>48</v>
      </c>
      <c r="B12" s="6">
        <f>Inputs!C16-Inputs!C15</f>
        <v>32.34499999999997</v>
      </c>
      <c r="C12" s="6">
        <f>Inputs!C20-Inputs!C19</f>
        <v>-32.34499999999997</v>
      </c>
    </row>
    <row r="13" spans="1:3">
      <c r="A13" s="5" t="s">
        <v>49</v>
      </c>
      <c r="B13" s="6">
        <f>Inputs!D16-Inputs!D15</f>
        <v>51.38900000000001</v>
      </c>
      <c r="C13" s="6">
        <f>Inputs!D20-Inputs!D19</f>
        <v>51.38900000000001</v>
      </c>
    </row>
    <row r="14" spans="1:3">
      <c r="A14" s="5" t="s">
        <v>50</v>
      </c>
      <c r="B14" s="6">
        <f>B7*B11+B8*B12+B9*B13</f>
        <v>34.732703904390526</v>
      </c>
      <c r="C14" s="6">
        <f>C7*C11+C8*C12+C9*C13</f>
        <v>34.732703904390526</v>
      </c>
    </row>
    <row r="15" spans="1:3">
      <c r="A15" s="5" t="s">
        <v>51</v>
      </c>
      <c r="B15" s="6">
        <f>B7*B14</f>
        <v>-2.4286612683284647</v>
      </c>
      <c r="C15" s="6">
        <f>C7*C14</f>
        <v>-2.4286612683284647</v>
      </c>
    </row>
    <row r="16" spans="1:3">
      <c r="A16" s="5" t="s">
        <v>52</v>
      </c>
      <c r="B16" s="6">
        <f>B8*B14</f>
        <v>-6.1840155276162836</v>
      </c>
      <c r="C16" s="6">
        <f>C8*C14</f>
        <v>6.1840155276162836</v>
      </c>
    </row>
    <row r="17" spans="1:3">
      <c r="A17" s="5" t="s">
        <v>53</v>
      </c>
      <c r="B17" s="6">
        <f>B9*B14</f>
        <v>34.091351937228694</v>
      </c>
      <c r="C17" s="6">
        <f>C9*C14</f>
        <v>34.091351937228694</v>
      </c>
    </row>
    <row r="18" spans="1:3">
      <c r="A18" s="5" t="s">
        <v>54</v>
      </c>
      <c r="B18" s="6">
        <f t="shared" ref="B18:C20" si="0">B11-B15</f>
        <v>144.70366126832843</v>
      </c>
      <c r="C18" s="6">
        <f t="shared" si="0"/>
        <v>144.70366126832843</v>
      </c>
    </row>
    <row r="19" spans="1:3">
      <c r="A19" s="5" t="s">
        <v>55</v>
      </c>
      <c r="B19" s="6">
        <f t="shared" si="0"/>
        <v>38.529015527616252</v>
      </c>
      <c r="C19" s="6">
        <f t="shared" si="0"/>
        <v>-38.529015527616252</v>
      </c>
    </row>
    <row r="20" spans="1:3">
      <c r="A20" s="5" t="s">
        <v>56</v>
      </c>
      <c r="B20" s="6">
        <f t="shared" si="0"/>
        <v>17.297648062771316</v>
      </c>
      <c r="C20" s="6">
        <f t="shared" si="0"/>
        <v>17.297648062771316</v>
      </c>
    </row>
    <row r="21" spans="1:3">
      <c r="A21" s="5" t="s">
        <v>57</v>
      </c>
      <c r="B21" s="6">
        <f>B8*B13-B9*B12</f>
        <v>-40.89733860826118</v>
      </c>
      <c r="C21" s="6">
        <f>C8*C13-C9*C12</f>
        <v>40.89733860826118</v>
      </c>
    </row>
    <row r="22" spans="1:3">
      <c r="A22" s="5" t="s">
        <v>58</v>
      </c>
      <c r="B22" s="6">
        <f>B9*B11-B7*B13</f>
        <v>143.24118227255087</v>
      </c>
      <c r="C22" s="6">
        <f>C9*C11-C7*C13</f>
        <v>143.24118227255087</v>
      </c>
    </row>
    <row r="23" spans="1:3">
      <c r="A23" s="5" t="s">
        <v>59</v>
      </c>
      <c r="B23" s="6">
        <f>B7*B12-B8*B11</f>
        <v>23.069777771209857</v>
      </c>
      <c r="C23" s="6">
        <f>C7*C12-C8*C11</f>
        <v>-23.069777771209857</v>
      </c>
    </row>
    <row r="24" spans="1:3">
      <c r="A24" s="5" t="s">
        <v>60</v>
      </c>
      <c r="B24" s="6">
        <f>SQRT((Inputs!B16-Inputs!B17)^2+(Inputs!C16-Inputs!C17)^2+(Inputs!D16-Inputs!D17)^2)</f>
        <v>254.09186255958687</v>
      </c>
      <c r="C24" s="6">
        <f>SQRT((Inputs!B20-Inputs!B21)^2+(Inputs!C20-Inputs!C21)^2+(Inputs!D20-Inputs!D21)^2)</f>
        <v>254.09186255958687</v>
      </c>
    </row>
    <row r="25" spans="1:3">
      <c r="A25" s="5"/>
      <c r="B25" s="6"/>
      <c r="C25" s="6"/>
    </row>
    <row r="26" spans="1:3">
      <c r="A26" s="5" t="s">
        <v>61</v>
      </c>
      <c r="B26" s="6">
        <f>RADIANS(Inputs!B8)</f>
        <v>0</v>
      </c>
      <c r="C26" s="6">
        <f>RADIANS(Inputs!B9)</f>
        <v>0</v>
      </c>
    </row>
    <row r="27" spans="1:3">
      <c r="A27" s="5" t="s">
        <v>62</v>
      </c>
      <c r="B27" s="6">
        <f>COS(B26)</f>
        <v>1</v>
      </c>
      <c r="C27" s="6">
        <f>COS(C26)</f>
        <v>1</v>
      </c>
    </row>
    <row r="28" spans="1:3">
      <c r="A28" s="5" t="s">
        <v>63</v>
      </c>
      <c r="B28" s="6">
        <f>SIN(B26)</f>
        <v>0</v>
      </c>
      <c r="C28" s="6">
        <f>SIN(C26)</f>
        <v>0</v>
      </c>
    </row>
    <row r="29" spans="1:3">
      <c r="A29" s="5" t="s">
        <v>64</v>
      </c>
      <c r="B29" s="6">
        <f>0</f>
        <v>0</v>
      </c>
      <c r="C29" s="6">
        <f>0</f>
        <v>0</v>
      </c>
    </row>
    <row r="30" spans="1:3">
      <c r="A30" s="5" t="s">
        <v>65</v>
      </c>
      <c r="B30" s="6">
        <f>B7*B27+B8*B28+B9*B29</f>
        <v>-6.9924336297395501E-2</v>
      </c>
      <c r="C30" s="6">
        <f>C7*C27+C8*C28+C9*C29</f>
        <v>-6.9924336297395501E-2</v>
      </c>
    </row>
    <row r="31" spans="1:3">
      <c r="A31" s="5" t="s">
        <v>66</v>
      </c>
      <c r="B31" s="6">
        <f>B8*B29-B9*B28</f>
        <v>0</v>
      </c>
      <c r="C31" s="6">
        <f>C8*C29-C9*C28</f>
        <v>0</v>
      </c>
    </row>
    <row r="32" spans="1:3">
      <c r="A32" s="5" t="s">
        <v>67</v>
      </c>
      <c r="B32" s="6">
        <f>B9*B27-B7*B29</f>
        <v>0.98153463752988268</v>
      </c>
      <c r="C32" s="6">
        <f>C9*C27-C7*C29</f>
        <v>0.98153463752988268</v>
      </c>
    </row>
    <row r="33" spans="1:3">
      <c r="A33" s="5" t="s">
        <v>68</v>
      </c>
      <c r="B33" s="6">
        <f>B7*B28-B8*B27</f>
        <v>0.17804590004392282</v>
      </c>
      <c r="C33" s="6">
        <f>C7*C28-C8*C27</f>
        <v>-0.17804590004392282</v>
      </c>
    </row>
    <row r="34" spans="1:3">
      <c r="A34" s="5"/>
      <c r="B34" s="6"/>
      <c r="C34" s="6"/>
    </row>
    <row r="35" spans="1:3">
      <c r="A35" s="5" t="s">
        <v>69</v>
      </c>
      <c r="B35" s="6">
        <f>Inputs!B15+B15-Inputs!B17</f>
        <v>-24.932661268328502</v>
      </c>
      <c r="C35" s="6">
        <f>Inputs!B19+C15-Inputs!B21</f>
        <v>-24.932661268328502</v>
      </c>
    </row>
    <row r="36" spans="1:3">
      <c r="A36" s="5" t="s">
        <v>70</v>
      </c>
      <c r="B36" s="6">
        <f>Inputs!C15+B16-Inputs!C17</f>
        <v>183.76798447238372</v>
      </c>
      <c r="C36" s="6">
        <f>Inputs!C19+C16-Inputs!C21</f>
        <v>-183.76798447238372</v>
      </c>
    </row>
    <row r="37" spans="1:3">
      <c r="A37" s="5" t="s">
        <v>71</v>
      </c>
      <c r="B37" s="6">
        <f>Inputs!D15+B17-Inputs!D17</f>
        <v>11.015351937228701</v>
      </c>
      <c r="C37" s="6">
        <f>Inputs!D19+C17-Inputs!D21</f>
        <v>11.015351937228701</v>
      </c>
    </row>
    <row r="38" spans="1:3">
      <c r="A38" s="5" t="s">
        <v>72</v>
      </c>
      <c r="B38" s="6">
        <f>2*(B35*B18+B36*B19+B37*B20)</f>
        <v>7326.1836752455656</v>
      </c>
      <c r="C38" s="6">
        <f>2*(C35*C18+C36*C19+C37*C20)</f>
        <v>7326.1836752455656</v>
      </c>
    </row>
    <row r="39" spans="1:3">
      <c r="A39" s="5" t="s">
        <v>73</v>
      </c>
      <c r="B39" s="6">
        <f>2*(B35*B21+B36*B22+B37*B23)</f>
        <v>55193.889142454907</v>
      </c>
      <c r="C39" s="6">
        <f>2*(C35*C21+C36*C22+C37*C23)</f>
        <v>-55193.889142454907</v>
      </c>
    </row>
    <row r="40" spans="1:3">
      <c r="A40" s="5" t="s">
        <v>74</v>
      </c>
      <c r="B40" s="6">
        <f>B24^2-(B35^2+B36^2+B37^2)-(B18^2+B19^2+B20^2)</f>
        <v>7326.1836752455783</v>
      </c>
      <c r="C40" s="6">
        <f>C24^2-(C35^2+C36^2+C37^2)-(C18^2+C19^2+C20^2)</f>
        <v>7326.1836752455783</v>
      </c>
    </row>
    <row r="41" spans="1:3">
      <c r="A41" s="5" t="s">
        <v>75</v>
      </c>
      <c r="B41" s="6">
        <f>SQRT(B38^2+B39^2)</f>
        <v>55677.988163304144</v>
      </c>
      <c r="C41" s="6">
        <f>SQRT(C38^2+C39^2)</f>
        <v>55677.988163304144</v>
      </c>
    </row>
    <row r="42" spans="1:3">
      <c r="A42" s="5" t="s">
        <v>76</v>
      </c>
      <c r="B42" s="6">
        <f>IF(B39&gt;=0,ACOS(MAX(-1,MIN(1,B38/B41))),-ACOS(MAX(-1,MIN(1,B38/B41))))</f>
        <v>1.43883231667512</v>
      </c>
      <c r="C42" s="6">
        <f>IF(C39&gt;=0,ACOS(MAX(-1,MIN(1,C38/C41))),-ACOS(MAX(-1,MIN(1,C38/C41))))</f>
        <v>-1.43883231667512</v>
      </c>
    </row>
    <row r="43" spans="1:3">
      <c r="A43" s="5" t="s">
        <v>77</v>
      </c>
      <c r="B43" s="6">
        <f>MAX(-1,MIN(1,B40/B41))</f>
        <v>0.13158132894022323</v>
      </c>
      <c r="C43" s="6">
        <f>MAX(-1,MIN(1,C40/C41))</f>
        <v>0.13158132894022323</v>
      </c>
    </row>
    <row r="44" spans="1:3">
      <c r="A44" s="5" t="s">
        <v>78</v>
      </c>
      <c r="B44" s="6">
        <f>ACOS(B43)</f>
        <v>1.4388323166751196</v>
      </c>
      <c r="C44" s="6">
        <f>ACOS(C43)</f>
        <v>1.4388323166751196</v>
      </c>
    </row>
    <row r="45" spans="1:3">
      <c r="A45" s="5" t="s">
        <v>79</v>
      </c>
      <c r="B45" s="6">
        <f>MOD(B42+B44+PI(),2*PI())-PI()</f>
        <v>2.8776646333502391</v>
      </c>
      <c r="C45" s="6">
        <f>MOD(C42+C44+PI(),2*PI())-PI()</f>
        <v>0</v>
      </c>
    </row>
    <row r="46" spans="1:3">
      <c r="A46" s="5" t="s">
        <v>80</v>
      </c>
      <c r="B46" s="6">
        <f>MOD(B42-B44+PI(),2*PI())-PI()</f>
        <v>0</v>
      </c>
      <c r="C46" s="6">
        <f>MOD(C42-C44+PI(),2*PI())-PI()</f>
        <v>-2.8776646333502396</v>
      </c>
    </row>
    <row r="47" spans="1:3">
      <c r="A47" s="5" t="s">
        <v>81</v>
      </c>
      <c r="B47" s="6">
        <f>IF(ABS(B45)&lt;=ABS(B46),1,-1)</f>
        <v>-1</v>
      </c>
      <c r="C47" s="6">
        <f>IF(ABS(C45)&lt;=ABS(C46),1,-1)</f>
        <v>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2"/>
  <sheetViews>
    <sheetView workbookViewId="0"/>
  </sheetViews>
  <sheetFormatPr defaultRowHeight="13.5"/>
  <cols>
    <col min="1" max="33" width="12" customWidth="1"/>
  </cols>
  <sheetData>
    <row r="1" spans="1:33" ht="13.9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</row>
    <row r="2" spans="1:33">
      <c r="A2" s="3">
        <f>IF(Inputs!$E$9+0*Inputs!$E$11&lt;=Inputs!$E$10,Inputs!$E$9+0*Inputs!$E$11,"")</f>
        <v>-60</v>
      </c>
      <c r="B2" s="3">
        <f>IF(NOT(ISNUMBER($A2)),"",Inputs!$B$17+$A2*Inputs!$E$6/SQRT(Inputs!$E$6^2+Inputs!$E$7^2+Inputs!$E$8^2))</f>
        <v>919.87300000000005</v>
      </c>
      <c r="C2" s="3">
        <f>IF(NOT(ISNUMBER($A2)),"",Inputs!$C$17+$A2*Inputs!$E$7/SQRT(Inputs!$E$6^2+Inputs!$E$7^2+Inputs!$E$8^2))</f>
        <v>197.45400000000001</v>
      </c>
      <c r="D2" s="3">
        <f>IF(NOT(ISNUMBER($A2)),"",Inputs!$D$17+$A2*Inputs!$E$8/SQRT(Inputs!$E$6^2+Inputs!$E$7^2+Inputs!$E$8^2))</f>
        <v>182.18899999999999</v>
      </c>
      <c r="E2" s="3">
        <f>IF(NOT(ISNUMBER($A2)),"",Inputs!$B$15+Geometry!$B$15-B2)</f>
        <v>-24.932661268328502</v>
      </c>
      <c r="F2" s="3">
        <f>IF(NOT(ISNUMBER($A2)),"",Inputs!$C$15+Geometry!$B$16-C2)</f>
        <v>243.76798447238372</v>
      </c>
      <c r="G2" s="3">
        <f>IF(NOT(ISNUMBER($A2)),"",Inputs!$D$15+Geometry!$B$17-D2)</f>
        <v>11.015351937228701</v>
      </c>
      <c r="H2" s="3">
        <f>IF(NOT(ISNUMBER($A2)),"",2*(E2*Geometry!$B$18+F2*Geometry!$B$19+G2*Geometry!$B$20))</f>
        <v>11949.665538559515</v>
      </c>
      <c r="I2" s="3">
        <f>IF(NOT(ISNUMBER($A2)),"",2*(E2*Geometry!$B$21+F2*Geometry!$B$22+G2*Geometry!$B$23))</f>
        <v>72382.831015161006</v>
      </c>
      <c r="J2" s="3">
        <f>IF(NOT(ISNUMBER($A2)),"",Geometry!$B$24^2-(E2^2+F2^2+G2^2)-(Geometry!$B$18^2+Geometry!$B$19^2+Geometry!$B$20^2))</f>
        <v>-18325.97446144047</v>
      </c>
      <c r="K2" s="3">
        <f t="shared" ref="K2:K33" si="0">IF(NOT(ISNUMBER($A2)),"",SQRT(H2^2+I2^2))</f>
        <v>73362.584007467944</v>
      </c>
      <c r="L2" s="3">
        <f t="shared" ref="L2:L33" si="1">IF(OR(NOT(ISNUMBER($A2)),K2&lt;0.000000000001),"",MAX(-1,MIN(1,J2/K2)))</f>
        <v>-0.24980001330889567</v>
      </c>
      <c r="M2" s="3">
        <f t="shared" ref="M2:M33" si="2">IF(OR(NOT(ISNUMBER($A2)),K2&lt;0.000000000001),"",IF(I2&gt;=0,ACOS(MAX(-1,MIN(1,H2/K2))),-ACOS(MAX(-1,MIN(1,H2/K2)))))</f>
        <v>1.4071823101864931</v>
      </c>
      <c r="N2" s="3">
        <f t="shared" ref="N2:N33" si="3">IF(L2="","",ACOS(L2))</f>
        <v>1.8232700420762937</v>
      </c>
      <c r="O2" s="3">
        <f>IF(M2="","",MOD(M2+Geometry!$B$47*N2+PI(),2*PI())-PI())</f>
        <v>-0.41608773188980042</v>
      </c>
      <c r="P2" s="3" t="b">
        <f t="shared" ref="P2:P33" si="4">IF(NOT(ISNUMBER($A2)),"",AND(K2&gt;=0.000000000001,ABS(J2)&lt;=K2+0.00000001))</f>
        <v>1</v>
      </c>
      <c r="Q2" s="3">
        <f>IF(P2=FALSE,"",IF((Geometry!$B$28*COS(O2)+Geometry!$B$32*SIN(O2)+Geometry!$B$8*Geometry!$B$30*(1-COS(O2)))&gt;=0,1,-1)*ACOS(MAX(-1,MIN(1,(Geometry!$B$27*COS(O2)+Geometry!$B$31*SIN(O2)+Geometry!$B$7*Geometry!$B$30*(1-COS(O2)))/SQRT((Geometry!$B$27*COS(O2)+Geometry!$B$31*SIN(O2)+Geometry!$B$7*Geometry!$B$30*(1-COS(O2)))^2+(Geometry!$B$28*COS(O2)+Geometry!$B$32*SIN(O2)+Geometry!$B$8*Geometry!$B$30*(1-COS(O2)))^2))))*180/PI())</f>
        <v>-23.382210492064207</v>
      </c>
      <c r="R2" s="3">
        <f>IF(NOT(ISNUMBER($A2)),"",Inputs!$B$21+$A2*Inputs!$E$6/SQRT(Inputs!$E$6^2+Inputs!$E$7^2+Inputs!$E$8^2))</f>
        <v>919.87300000000005</v>
      </c>
      <c r="S2" s="3">
        <f>IF(NOT(ISNUMBER($A2)),"",Inputs!$C$21+$A2*Inputs!$E$7/SQRT(Inputs!$E$6^2+Inputs!$E$7^2+Inputs!$E$8^2))</f>
        <v>-317.45400000000001</v>
      </c>
      <c r="T2" s="3">
        <f>IF(NOT(ISNUMBER($A2)),"",Inputs!$D$21+$A2*Inputs!$E$8/SQRT(Inputs!$E$6^2+Inputs!$E$7^2+Inputs!$E$8^2))</f>
        <v>182.18899999999999</v>
      </c>
      <c r="U2" s="3">
        <f>IF(NOT(ISNUMBER($A2)),"",Inputs!$B$19+Geometry!$C$15-R2)</f>
        <v>-24.932661268328502</v>
      </c>
      <c r="V2" s="3">
        <f>IF(NOT(ISNUMBER($A2)),"",Inputs!$C$19+Geometry!$C$16-S2)</f>
        <v>-123.76798447238372</v>
      </c>
      <c r="W2" s="3">
        <f>IF(NOT(ISNUMBER($A2)),"",Inputs!$D$19+Geometry!$C$17-T2)</f>
        <v>11.015351937228701</v>
      </c>
      <c r="X2" s="3">
        <f>IF(NOT(ISNUMBER($A2)),"",2*(U2*Geometry!$C$18+V2*Geometry!$C$19+W2*Geometry!$C$20))</f>
        <v>2702.7018119316167</v>
      </c>
      <c r="Y2" s="3">
        <f>IF(NOT(ISNUMBER($A2)),"",2*(U2*Geometry!$C$21+V2*Geometry!$C$22+W2*Geometry!$C$23))</f>
        <v>-38004.947269748802</v>
      </c>
      <c r="Z2" s="3">
        <f>IF(NOT(ISNUMBER($A2)),"",Geometry!$C$24^2-(U2^2+V2^2+W2^2)-(Geometry!$C$18^2+Geometry!$C$19^2+Geometry!$C$20^2))</f>
        <v>25778.341811931627</v>
      </c>
      <c r="AA2" s="3">
        <f t="shared" ref="AA2:AA33" si="5">IF(NOT(ISNUMBER($A2)),"",SQRT(X2^2+Y2^2))</f>
        <v>38100.926682439174</v>
      </c>
      <c r="AB2" s="3">
        <f t="shared" ref="AB2:AB33" si="6">IF(OR(NOT(ISNUMBER($A2)),AA2&lt;0.000000000001),"",MAX(-1,MIN(1,Z2/AA2)))</f>
        <v>0.67658044190859368</v>
      </c>
      <c r="AC2" s="3">
        <f t="shared" ref="AC2:AC33" si="7">IF(OR(NOT(ISNUMBER($A2)),AA2&lt;0.000000000001),"",IF(Y2&gt;=0,ACOS(MAX(-1,MIN(1,X2/AA2))),-ACOS(MAX(-1,MIN(1,X2/AA2)))))</f>
        <v>-1.4998013725910215</v>
      </c>
      <c r="AD2" s="3">
        <f t="shared" ref="AD2:AD33" si="8">IF(AB2="","",ACOS(AB2))</f>
        <v>0.82768747071636839</v>
      </c>
      <c r="AE2" s="3">
        <f>IF(AC2="","",MOD(AC2+Geometry!$C$47*AD2+PI(),2*PI())-PI())</f>
        <v>-0.67211390187465314</v>
      </c>
      <c r="AF2" s="3" t="b">
        <f t="shared" ref="AF2:AF33" si="9">IF(NOT(ISNUMBER($A2)),"",AND(AA2&gt;=0.000000000001,ABS(Z2)&lt;=AA2+0.00000001))</f>
        <v>1</v>
      </c>
      <c r="AG2" s="3">
        <f>IF(AF2=FALSE,"",IF((Geometry!$C$28*COS(AE2)+Geometry!$C$32*SIN(AE2)+Geometry!$C$8*Geometry!$C$30*(1-COS(AE2)))&gt;=0,1,-1)*ACOS(MAX(-1,MIN(1,(Geometry!$C$27*COS(AE2)+Geometry!$C$31*SIN(AE2)+Geometry!$C$7*Geometry!$C$30*(1-COS(AE2)))/SQRT((Geometry!$C$27*COS(AE2)+Geometry!$C$31*SIN(AE2)+Geometry!$C$7*Geometry!$C$30*(1-COS(AE2)))^2+(Geometry!$C$28*COS(AE2)+Geometry!$C$32*SIN(AE2)+Geometry!$C$8*Geometry!$C$30*(1-COS(AE2)))^2))))*180/PI())</f>
        <v>-38.075272281961773</v>
      </c>
    </row>
    <row r="3" spans="1:33">
      <c r="A3" s="3">
        <f>IF(Inputs!$E$9+1*Inputs!$E$11&lt;=Inputs!$E$10,Inputs!$E$9+1*Inputs!$E$11,"")</f>
        <v>-59</v>
      </c>
      <c r="B3" s="3">
        <f>IF(NOT(ISNUMBER($A3)),"",Inputs!$B$17+$A3*Inputs!$E$6/SQRT(Inputs!$E$6^2+Inputs!$E$7^2+Inputs!$E$8^2))</f>
        <v>919.87300000000005</v>
      </c>
      <c r="C3" s="3">
        <f>IF(NOT(ISNUMBER($A3)),"",Inputs!$C$17+$A3*Inputs!$E$7/SQRT(Inputs!$E$6^2+Inputs!$E$7^2+Inputs!$E$8^2))</f>
        <v>198.45400000000001</v>
      </c>
      <c r="D3" s="3">
        <f>IF(NOT(ISNUMBER($A3)),"",Inputs!$D$17+$A3*Inputs!$E$8/SQRT(Inputs!$E$6^2+Inputs!$E$7^2+Inputs!$E$8^2))</f>
        <v>182.18899999999999</v>
      </c>
      <c r="E3" s="3">
        <f>IF(NOT(ISNUMBER($A3)),"",Inputs!$B$15+Geometry!$B$15-B3)</f>
        <v>-24.932661268328502</v>
      </c>
      <c r="F3" s="3">
        <f>IF(NOT(ISNUMBER($A3)),"",Inputs!$C$15+Geometry!$B$16-C3)</f>
        <v>242.76798447238372</v>
      </c>
      <c r="G3" s="3">
        <f>IF(NOT(ISNUMBER($A3)),"",Inputs!$D$15+Geometry!$B$17-D3)</f>
        <v>11.015351937228701</v>
      </c>
      <c r="H3" s="3">
        <f>IF(NOT(ISNUMBER($A3)),"",2*(E3*Geometry!$B$18+F3*Geometry!$B$19+G3*Geometry!$B$20))</f>
        <v>11872.607507504283</v>
      </c>
      <c r="I3" s="3">
        <f>IF(NOT(ISNUMBER($A3)),"",2*(E3*Geometry!$B$21+F3*Geometry!$B$22+G3*Geometry!$B$23))</f>
        <v>72096.34865061591</v>
      </c>
      <c r="J3" s="3">
        <f>IF(NOT(ISNUMBER($A3)),"",Geometry!$B$24^2-(E3^2+F3^2+G3^2)-(Geometry!$B$18^2+Geometry!$B$19^2+Geometry!$B$20^2))</f>
        <v>-17839.438492495705</v>
      </c>
      <c r="K3" s="3">
        <f t="shared" si="0"/>
        <v>73067.381900396664</v>
      </c>
      <c r="L3" s="3">
        <f t="shared" si="1"/>
        <v>-0.24415050913982261</v>
      </c>
      <c r="M3" s="3">
        <f t="shared" si="2"/>
        <v>1.4075842028175396</v>
      </c>
      <c r="N3" s="3">
        <f t="shared" si="3"/>
        <v>1.8174399216235295</v>
      </c>
      <c r="O3" s="3">
        <f>IF(M3="","",MOD(M3+Geometry!$B$47*N3+PI(),2*PI())-PI())</f>
        <v>-0.40985571880599014</v>
      </c>
      <c r="P3" s="3" t="b">
        <f t="shared" si="4"/>
        <v>1</v>
      </c>
      <c r="Q3" s="3">
        <f>IF(P3=FALSE,"",IF((Geometry!$B$28*COS(O3)+Geometry!$B$32*SIN(O3)+Geometry!$B$8*Geometry!$B$30*(1-COS(O3)))&gt;=0,1,-1)*ACOS(MAX(-1,MIN(1,(Geometry!$B$27*COS(O3)+Geometry!$B$31*SIN(O3)+Geometry!$B$7*Geometry!$B$30*(1-COS(O3)))/SQRT((Geometry!$B$27*COS(O3)+Geometry!$B$31*SIN(O3)+Geometry!$B$7*Geometry!$B$30*(1-COS(O3)))^2+(Geometry!$B$28*COS(O3)+Geometry!$B$32*SIN(O3)+Geometry!$B$8*Geometry!$B$30*(1-COS(O3)))^2))))*180/PI())</f>
        <v>-23.031572814599087</v>
      </c>
      <c r="R3" s="3">
        <f>IF(NOT(ISNUMBER($A3)),"",Inputs!$B$21+$A3*Inputs!$E$6/SQRT(Inputs!$E$6^2+Inputs!$E$7^2+Inputs!$E$8^2))</f>
        <v>919.87300000000005</v>
      </c>
      <c r="S3" s="3">
        <f>IF(NOT(ISNUMBER($A3)),"",Inputs!$C$21+$A3*Inputs!$E$7/SQRT(Inputs!$E$6^2+Inputs!$E$7^2+Inputs!$E$8^2))</f>
        <v>-316.45400000000001</v>
      </c>
      <c r="T3" s="3">
        <f>IF(NOT(ISNUMBER($A3)),"",Inputs!$D$21+$A3*Inputs!$E$8/SQRT(Inputs!$E$6^2+Inputs!$E$7^2+Inputs!$E$8^2))</f>
        <v>182.18899999999999</v>
      </c>
      <c r="U3" s="3">
        <f>IF(NOT(ISNUMBER($A3)),"",Inputs!$B$19+Geometry!$C$15-R3)</f>
        <v>-24.932661268328502</v>
      </c>
      <c r="V3" s="3">
        <f>IF(NOT(ISNUMBER($A3)),"",Inputs!$C$19+Geometry!$C$16-S3)</f>
        <v>-124.76798447238372</v>
      </c>
      <c r="W3" s="3">
        <f>IF(NOT(ISNUMBER($A3)),"",Inputs!$D$19+Geometry!$C$17-T3)</f>
        <v>11.015351937228701</v>
      </c>
      <c r="X3" s="3">
        <f>IF(NOT(ISNUMBER($A3)),"",2*(U3*Geometry!$C$18+V3*Geometry!$C$19+W3*Geometry!$C$20))</f>
        <v>2779.759842986849</v>
      </c>
      <c r="Y3" s="3">
        <f>IF(NOT(ISNUMBER($A3)),"",2*(U3*Geometry!$C$21+V3*Geometry!$C$22+W3*Geometry!$C$23))</f>
        <v>-38291.429634293905</v>
      </c>
      <c r="Z3" s="3">
        <f>IF(NOT(ISNUMBER($A3)),"",Geometry!$C$24^2-(U3^2+V3^2+W3^2)-(Geometry!$C$18^2+Geometry!$C$19^2+Geometry!$C$20^2))</f>
        <v>25529.805842986854</v>
      </c>
      <c r="AA3" s="3">
        <f t="shared" si="5"/>
        <v>38392.195147227045</v>
      </c>
      <c r="AB3" s="3">
        <f t="shared" si="6"/>
        <v>0.66497385067680348</v>
      </c>
      <c r="AC3" s="3">
        <f t="shared" si="7"/>
        <v>-1.4983286197419414</v>
      </c>
      <c r="AD3" s="3">
        <f t="shared" si="8"/>
        <v>0.84333752137724349</v>
      </c>
      <c r="AE3" s="3">
        <f>IF(AC3="","",MOD(AC3+Geometry!$C$47*AD3+PI(),2*PI())-PI())</f>
        <v>-0.65499109836469804</v>
      </c>
      <c r="AF3" s="3" t="b">
        <f t="shared" si="9"/>
        <v>1</v>
      </c>
      <c r="AG3" s="3">
        <f>IF(AF3=FALSE,"",IF((Geometry!$C$28*COS(AE3)+Geometry!$C$32*SIN(AE3)+Geometry!$C$8*Geometry!$C$30*(1-COS(AE3)))&gt;=0,1,-1)*ACOS(MAX(-1,MIN(1,(Geometry!$C$27*COS(AE3)+Geometry!$C$31*SIN(AE3)+Geometry!$C$7*Geometry!$C$30*(1-COS(AE3)))/SQRT((Geometry!$C$27*COS(AE3)+Geometry!$C$31*SIN(AE3)+Geometry!$C$7*Geometry!$C$30*(1-COS(AE3)))^2+(Geometry!$C$28*COS(AE3)+Geometry!$C$32*SIN(AE3)+Geometry!$C$8*Geometry!$C$30*(1-COS(AE3)))^2))))*180/PI())</f>
        <v>-37.096952420737558</v>
      </c>
    </row>
    <row r="4" spans="1:33">
      <c r="A4" s="3">
        <f>IF(Inputs!$E$9+2*Inputs!$E$11&lt;=Inputs!$E$10,Inputs!$E$9+2*Inputs!$E$11,"")</f>
        <v>-58</v>
      </c>
      <c r="B4" s="3">
        <f>IF(NOT(ISNUMBER($A4)),"",Inputs!$B$17+$A4*Inputs!$E$6/SQRT(Inputs!$E$6^2+Inputs!$E$7^2+Inputs!$E$8^2))</f>
        <v>919.87300000000005</v>
      </c>
      <c r="C4" s="3">
        <f>IF(NOT(ISNUMBER($A4)),"",Inputs!$C$17+$A4*Inputs!$E$7/SQRT(Inputs!$E$6^2+Inputs!$E$7^2+Inputs!$E$8^2))</f>
        <v>199.45400000000001</v>
      </c>
      <c r="D4" s="3">
        <f>IF(NOT(ISNUMBER($A4)),"",Inputs!$D$17+$A4*Inputs!$E$8/SQRT(Inputs!$E$6^2+Inputs!$E$7^2+Inputs!$E$8^2))</f>
        <v>182.18899999999999</v>
      </c>
      <c r="E4" s="3">
        <f>IF(NOT(ISNUMBER($A4)),"",Inputs!$B$15+Geometry!$B$15-B4)</f>
        <v>-24.932661268328502</v>
      </c>
      <c r="F4" s="3">
        <f>IF(NOT(ISNUMBER($A4)),"",Inputs!$C$15+Geometry!$B$16-C4)</f>
        <v>241.76798447238372</v>
      </c>
      <c r="G4" s="3">
        <f>IF(NOT(ISNUMBER($A4)),"",Inputs!$D$15+Geometry!$B$17-D4)</f>
        <v>11.015351937228701</v>
      </c>
      <c r="H4" s="3">
        <f>IF(NOT(ISNUMBER($A4)),"",2*(E4*Geometry!$B$18+F4*Geometry!$B$19+G4*Geometry!$B$20))</f>
        <v>11795.54947644905</v>
      </c>
      <c r="I4" s="3">
        <f>IF(NOT(ISNUMBER($A4)),"",2*(E4*Geometry!$B$21+F4*Geometry!$B$22+G4*Geometry!$B$23))</f>
        <v>71809.866286070814</v>
      </c>
      <c r="J4" s="3">
        <f>IF(NOT(ISNUMBER($A4)),"",Geometry!$B$24^2-(E4^2+F4^2+G4^2)-(Geometry!$B$18^2+Geometry!$B$19^2+Geometry!$B$20^2))</f>
        <v>-17354.902523550933</v>
      </c>
      <c r="K4" s="3">
        <f t="shared" si="0"/>
        <v>72772.191690746316</v>
      </c>
      <c r="L4" s="3">
        <f t="shared" si="1"/>
        <v>-0.23848261431100715</v>
      </c>
      <c r="M4" s="3">
        <f t="shared" si="2"/>
        <v>1.4079893559568786</v>
      </c>
      <c r="N4" s="3">
        <f t="shared" si="3"/>
        <v>1.8115994093882637</v>
      </c>
      <c r="O4" s="3">
        <f>IF(M4="","",MOD(M4+Geometry!$B$47*N4+PI(),2*PI())-PI())</f>
        <v>-0.40361005343138512</v>
      </c>
      <c r="P4" s="3" t="b">
        <f t="shared" si="4"/>
        <v>1</v>
      </c>
      <c r="Q4" s="3">
        <f>IF(P4=FALSE,"",IF((Geometry!$B$28*COS(O4)+Geometry!$B$32*SIN(O4)+Geometry!$B$8*Geometry!$B$30*(1-COS(O4)))&gt;=0,1,-1)*ACOS(MAX(-1,MIN(1,(Geometry!$B$27*COS(O4)+Geometry!$B$31*SIN(O4)+Geometry!$B$7*Geometry!$B$30*(1-COS(O4)))/SQRT((Geometry!$B$27*COS(O4)+Geometry!$B$31*SIN(O4)+Geometry!$B$7*Geometry!$B$30*(1-COS(O4)))^2+(Geometry!$B$28*COS(O4)+Geometry!$B$32*SIN(O4)+Geometry!$B$8*Geometry!$B$30*(1-COS(O4)))^2))))*180/PI())</f>
        <v>-22.680201501063042</v>
      </c>
      <c r="R4" s="3">
        <f>IF(NOT(ISNUMBER($A4)),"",Inputs!$B$21+$A4*Inputs!$E$6/SQRT(Inputs!$E$6^2+Inputs!$E$7^2+Inputs!$E$8^2))</f>
        <v>919.87300000000005</v>
      </c>
      <c r="S4" s="3">
        <f>IF(NOT(ISNUMBER($A4)),"",Inputs!$C$21+$A4*Inputs!$E$7/SQRT(Inputs!$E$6^2+Inputs!$E$7^2+Inputs!$E$8^2))</f>
        <v>-315.45400000000001</v>
      </c>
      <c r="T4" s="3">
        <f>IF(NOT(ISNUMBER($A4)),"",Inputs!$D$21+$A4*Inputs!$E$8/SQRT(Inputs!$E$6^2+Inputs!$E$7^2+Inputs!$E$8^2))</f>
        <v>182.18899999999999</v>
      </c>
      <c r="U4" s="3">
        <f>IF(NOT(ISNUMBER($A4)),"",Inputs!$B$19+Geometry!$C$15-R4)</f>
        <v>-24.932661268328502</v>
      </c>
      <c r="V4" s="3">
        <f>IF(NOT(ISNUMBER($A4)),"",Inputs!$C$19+Geometry!$C$16-S4)</f>
        <v>-125.76798447238372</v>
      </c>
      <c r="W4" s="3">
        <f>IF(NOT(ISNUMBER($A4)),"",Inputs!$D$19+Geometry!$C$17-T4)</f>
        <v>11.015351937228701</v>
      </c>
      <c r="X4" s="3">
        <f>IF(NOT(ISNUMBER($A4)),"",2*(U4*Geometry!$C$18+V4*Geometry!$C$19+W4*Geometry!$C$20))</f>
        <v>2856.8178740420813</v>
      </c>
      <c r="Y4" s="3">
        <f>IF(NOT(ISNUMBER($A4)),"",2*(U4*Geometry!$C$21+V4*Geometry!$C$22+W4*Geometry!$C$23))</f>
        <v>-38577.911998839008</v>
      </c>
      <c r="Z4" s="3">
        <f>IF(NOT(ISNUMBER($A4)),"",Geometry!$C$24^2-(U4^2+V4^2+W4^2)-(Geometry!$C$18^2+Geometry!$C$19^2+Geometry!$C$20^2))</f>
        <v>25279.269874042089</v>
      </c>
      <c r="AA4" s="3">
        <f t="shared" si="5"/>
        <v>38683.545630611639</v>
      </c>
      <c r="AB4" s="3">
        <f t="shared" si="6"/>
        <v>0.65348895665959128</v>
      </c>
      <c r="AC4" s="3">
        <f t="shared" si="7"/>
        <v>-1.496878048270196</v>
      </c>
      <c r="AD4" s="3">
        <f t="shared" si="8"/>
        <v>0.85861169372497881</v>
      </c>
      <c r="AE4" s="3">
        <f>IF(AC4="","",MOD(AC4+Geometry!$C$47*AD4+PI(),2*PI())-PI())</f>
        <v>-0.63826635454521696</v>
      </c>
      <c r="AF4" s="3" t="b">
        <f t="shared" si="9"/>
        <v>1</v>
      </c>
      <c r="AG4" s="3">
        <f>IF(AF4=FALSE,"",IF((Geometry!$C$28*COS(AE4)+Geometry!$C$32*SIN(AE4)+Geometry!$C$8*Geometry!$C$30*(1-COS(AE4)))&gt;=0,1,-1)*ACOS(MAX(-1,MIN(1,(Geometry!$C$27*COS(AE4)+Geometry!$C$31*SIN(AE4)+Geometry!$C$7*Geometry!$C$30*(1-COS(AE4)))/SQRT((Geometry!$C$27*COS(AE4)+Geometry!$C$31*SIN(AE4)+Geometry!$C$7*Geometry!$C$30*(1-COS(AE4)))^2+(Geometry!$C$28*COS(AE4)+Geometry!$C$32*SIN(AE4)+Geometry!$C$8*Geometry!$C$30*(1-COS(AE4)))^2))))*180/PI())</f>
        <v>-36.141795169058689</v>
      </c>
    </row>
    <row r="5" spans="1:33">
      <c r="A5" s="3">
        <f>IF(Inputs!$E$9+3*Inputs!$E$11&lt;=Inputs!$E$10,Inputs!$E$9+3*Inputs!$E$11,"")</f>
        <v>-57</v>
      </c>
      <c r="B5" s="3">
        <f>IF(NOT(ISNUMBER($A5)),"",Inputs!$B$17+$A5*Inputs!$E$6/SQRT(Inputs!$E$6^2+Inputs!$E$7^2+Inputs!$E$8^2))</f>
        <v>919.87300000000005</v>
      </c>
      <c r="C5" s="3">
        <f>IF(NOT(ISNUMBER($A5)),"",Inputs!$C$17+$A5*Inputs!$E$7/SQRT(Inputs!$E$6^2+Inputs!$E$7^2+Inputs!$E$8^2))</f>
        <v>200.45400000000001</v>
      </c>
      <c r="D5" s="3">
        <f>IF(NOT(ISNUMBER($A5)),"",Inputs!$D$17+$A5*Inputs!$E$8/SQRT(Inputs!$E$6^2+Inputs!$E$7^2+Inputs!$E$8^2))</f>
        <v>182.18899999999999</v>
      </c>
      <c r="E5" s="3">
        <f>IF(NOT(ISNUMBER($A5)),"",Inputs!$B$15+Geometry!$B$15-B5)</f>
        <v>-24.932661268328502</v>
      </c>
      <c r="F5" s="3">
        <f>IF(NOT(ISNUMBER($A5)),"",Inputs!$C$15+Geometry!$B$16-C5)</f>
        <v>240.76798447238372</v>
      </c>
      <c r="G5" s="3">
        <f>IF(NOT(ISNUMBER($A5)),"",Inputs!$D$15+Geometry!$B$17-D5)</f>
        <v>11.015351937228701</v>
      </c>
      <c r="H5" s="3">
        <f>IF(NOT(ISNUMBER($A5)),"",2*(E5*Geometry!$B$18+F5*Geometry!$B$19+G5*Geometry!$B$20))</f>
        <v>11718.491445393818</v>
      </c>
      <c r="I5" s="3">
        <f>IF(NOT(ISNUMBER($A5)),"",2*(E5*Geometry!$B$21+F5*Geometry!$B$22+G5*Geometry!$B$23))</f>
        <v>71523.383921525703</v>
      </c>
      <c r="J5" s="3">
        <f>IF(NOT(ISNUMBER($A5)),"",Geometry!$B$24^2-(E5^2+F5^2+G5^2)-(Geometry!$B$18^2+Geometry!$B$19^2+Geometry!$B$20^2))</f>
        <v>-16872.366554606167</v>
      </c>
      <c r="K5" s="3">
        <f t="shared" si="0"/>
        <v>72477.013523887203</v>
      </c>
      <c r="L5" s="3">
        <f t="shared" si="1"/>
        <v>-0.23279610643787524</v>
      </c>
      <c r="M5" s="3">
        <f t="shared" si="2"/>
        <v>1.4083978093096605</v>
      </c>
      <c r="N5" s="3">
        <f t="shared" si="3"/>
        <v>1.8057481230799994</v>
      </c>
      <c r="O5" s="3">
        <f>IF(M5="","",MOD(M5+Geometry!$B$47*N5+PI(),2*PI())-PI())</f>
        <v>-0.39735031377033891</v>
      </c>
      <c r="P5" s="3" t="b">
        <f t="shared" si="4"/>
        <v>1</v>
      </c>
      <c r="Q5" s="3">
        <f>IF(P5=FALSE,"",IF((Geometry!$B$28*COS(O5)+Geometry!$B$32*SIN(O5)+Geometry!$B$8*Geometry!$B$30*(1-COS(O5)))&gt;=0,1,-1)*ACOS(MAX(-1,MIN(1,(Geometry!$B$27*COS(O5)+Geometry!$B$31*SIN(O5)+Geometry!$B$7*Geometry!$B$30*(1-COS(O5)))/SQRT((Geometry!$B$27*COS(O5)+Geometry!$B$31*SIN(O5)+Geometry!$B$7*Geometry!$B$30*(1-COS(O5)))^2+(Geometry!$B$28*COS(O5)+Geometry!$B$32*SIN(O5)+Geometry!$B$8*Geometry!$B$30*(1-COS(O5)))^2))))*180/PI())</f>
        <v>-22.328072030634157</v>
      </c>
      <c r="R5" s="3">
        <f>IF(NOT(ISNUMBER($A5)),"",Inputs!$B$21+$A5*Inputs!$E$6/SQRT(Inputs!$E$6^2+Inputs!$E$7^2+Inputs!$E$8^2))</f>
        <v>919.87300000000005</v>
      </c>
      <c r="S5" s="3">
        <f>IF(NOT(ISNUMBER($A5)),"",Inputs!$C$21+$A5*Inputs!$E$7/SQRT(Inputs!$E$6^2+Inputs!$E$7^2+Inputs!$E$8^2))</f>
        <v>-314.45400000000001</v>
      </c>
      <c r="T5" s="3">
        <f>IF(NOT(ISNUMBER($A5)),"",Inputs!$D$21+$A5*Inputs!$E$8/SQRT(Inputs!$E$6^2+Inputs!$E$7^2+Inputs!$E$8^2))</f>
        <v>182.18899999999999</v>
      </c>
      <c r="U5" s="3">
        <f>IF(NOT(ISNUMBER($A5)),"",Inputs!$B$19+Geometry!$C$15-R5)</f>
        <v>-24.932661268328502</v>
      </c>
      <c r="V5" s="3">
        <f>IF(NOT(ISNUMBER($A5)),"",Inputs!$C$19+Geometry!$C$16-S5)</f>
        <v>-126.76798447238372</v>
      </c>
      <c r="W5" s="3">
        <f>IF(NOT(ISNUMBER($A5)),"",Inputs!$D$19+Geometry!$C$17-T5)</f>
        <v>11.015351937228701</v>
      </c>
      <c r="X5" s="3">
        <f>IF(NOT(ISNUMBER($A5)),"",2*(U5*Geometry!$C$18+V5*Geometry!$C$19+W5*Geometry!$C$20))</f>
        <v>2933.8759050973135</v>
      </c>
      <c r="Y5" s="3">
        <f>IF(NOT(ISNUMBER($A5)),"",2*(U5*Geometry!$C$21+V5*Geometry!$C$22+W5*Geometry!$C$23))</f>
        <v>-38864.394363384105</v>
      </c>
      <c r="Z5" s="3">
        <f>IF(NOT(ISNUMBER($A5)),"",Geometry!$C$24^2-(U5^2+V5^2+W5^2)-(Geometry!$C$18^2+Geometry!$C$19^2+Geometry!$C$20^2))</f>
        <v>25026.733905097324</v>
      </c>
      <c r="AA5" s="3">
        <f t="shared" si="5"/>
        <v>38974.976293246837</v>
      </c>
      <c r="AB5" s="3">
        <f t="shared" si="6"/>
        <v>0.64212313348946637</v>
      </c>
      <c r="AC5" s="3">
        <f t="shared" si="7"/>
        <v>-1.4954491667740395</v>
      </c>
      <c r="AD5" s="3">
        <f t="shared" si="8"/>
        <v>0.87353172273572433</v>
      </c>
      <c r="AE5" s="3">
        <f>IF(AC5="","",MOD(AC5+Geometry!$C$47*AD5+PI(),2*PI())-PI())</f>
        <v>-0.62191744403831528</v>
      </c>
      <c r="AF5" s="3" t="b">
        <f t="shared" si="9"/>
        <v>1</v>
      </c>
      <c r="AG5" s="3">
        <f>IF(AF5=FALSE,"",IF((Geometry!$C$28*COS(AE5)+Geometry!$C$32*SIN(AE5)+Geometry!$C$8*Geometry!$C$30*(1-COS(AE5)))&gt;=0,1,-1)*ACOS(MAX(-1,MIN(1,(Geometry!$C$27*COS(AE5)+Geometry!$C$31*SIN(AE5)+Geometry!$C$7*Geometry!$C$30*(1-COS(AE5)))/SQRT((Geometry!$C$27*COS(AE5)+Geometry!$C$31*SIN(AE5)+Geometry!$C$7*Geometry!$C$30*(1-COS(AE5)))^2+(Geometry!$C$28*COS(AE5)+Geometry!$C$32*SIN(AE5)+Geometry!$C$8*Geometry!$C$30*(1-COS(AE5)))^2))))*180/PI())</f>
        <v>-35.208507709164365</v>
      </c>
    </row>
    <row r="6" spans="1:33">
      <c r="A6" s="3">
        <f>IF(Inputs!$E$9+4*Inputs!$E$11&lt;=Inputs!$E$10,Inputs!$E$9+4*Inputs!$E$11,"")</f>
        <v>-56</v>
      </c>
      <c r="B6" s="3">
        <f>IF(NOT(ISNUMBER($A6)),"",Inputs!$B$17+$A6*Inputs!$E$6/SQRT(Inputs!$E$6^2+Inputs!$E$7^2+Inputs!$E$8^2))</f>
        <v>919.87300000000005</v>
      </c>
      <c r="C6" s="3">
        <f>IF(NOT(ISNUMBER($A6)),"",Inputs!$C$17+$A6*Inputs!$E$7/SQRT(Inputs!$E$6^2+Inputs!$E$7^2+Inputs!$E$8^2))</f>
        <v>201.45400000000001</v>
      </c>
      <c r="D6" s="3">
        <f>IF(NOT(ISNUMBER($A6)),"",Inputs!$D$17+$A6*Inputs!$E$8/SQRT(Inputs!$E$6^2+Inputs!$E$7^2+Inputs!$E$8^2))</f>
        <v>182.18899999999999</v>
      </c>
      <c r="E6" s="3">
        <f>IF(NOT(ISNUMBER($A6)),"",Inputs!$B$15+Geometry!$B$15-B6)</f>
        <v>-24.932661268328502</v>
      </c>
      <c r="F6" s="3">
        <f>IF(NOT(ISNUMBER($A6)),"",Inputs!$C$15+Geometry!$B$16-C6)</f>
        <v>239.76798447238372</v>
      </c>
      <c r="G6" s="3">
        <f>IF(NOT(ISNUMBER($A6)),"",Inputs!$D$15+Geometry!$B$17-D6)</f>
        <v>11.015351937228701</v>
      </c>
      <c r="H6" s="3">
        <f>IF(NOT(ISNUMBER($A6)),"",2*(E6*Geometry!$B$18+F6*Geometry!$B$19+G6*Geometry!$B$20))</f>
        <v>11641.433414338586</v>
      </c>
      <c r="I6" s="3">
        <f>IF(NOT(ISNUMBER($A6)),"",2*(E6*Geometry!$B$21+F6*Geometry!$B$22+G6*Geometry!$B$23))</f>
        <v>71236.901556980607</v>
      </c>
      <c r="J6" s="3">
        <f>IF(NOT(ISNUMBER($A6)),"",Geometry!$B$24^2-(E6^2+F6^2+G6^2)-(Geometry!$B$18^2+Geometry!$B$19^2+Geometry!$B$20^2))</f>
        <v>-16391.830585661402</v>
      </c>
      <c r="K6" s="3">
        <f t="shared" si="0"/>
        <v>72181.8475475616</v>
      </c>
      <c r="L6" s="3">
        <f t="shared" si="1"/>
        <v>-0.22709075955503361</v>
      </c>
      <c r="M6" s="3">
        <f t="shared" si="2"/>
        <v>1.408809603226121</v>
      </c>
      <c r="N6" s="3">
        <f t="shared" si="3"/>
        <v>1.7998856765165141</v>
      </c>
      <c r="O6" s="3">
        <f>IF(M6="","",MOD(M6+Geometry!$B$47*N6+PI(),2*PI())-PI())</f>
        <v>-0.39107607329039329</v>
      </c>
      <c r="P6" s="3" t="b">
        <f t="shared" si="4"/>
        <v>1</v>
      </c>
      <c r="Q6" s="3">
        <f>IF(P6=FALSE,"",IF((Geometry!$B$28*COS(O6)+Geometry!$B$32*SIN(O6)+Geometry!$B$8*Geometry!$B$30*(1-COS(O6)))&gt;=0,1,-1)*ACOS(MAX(-1,MIN(1,(Geometry!$B$27*COS(O6)+Geometry!$B$31*SIN(O6)+Geometry!$B$7*Geometry!$B$30*(1-COS(O6)))/SQRT((Geometry!$B$27*COS(O6)+Geometry!$B$31*SIN(O6)+Geometry!$B$7*Geometry!$B$30*(1-COS(O6)))^2+(Geometry!$B$28*COS(O6)+Geometry!$B$32*SIN(O6)+Geometry!$B$8*Geometry!$B$30*(1-COS(O6)))^2))))*180/PI())</f>
        <v>-21.975159622095237</v>
      </c>
      <c r="R6" s="3">
        <f>IF(NOT(ISNUMBER($A6)),"",Inputs!$B$21+$A6*Inputs!$E$6/SQRT(Inputs!$E$6^2+Inputs!$E$7^2+Inputs!$E$8^2))</f>
        <v>919.87300000000005</v>
      </c>
      <c r="S6" s="3">
        <f>IF(NOT(ISNUMBER($A6)),"",Inputs!$C$21+$A6*Inputs!$E$7/SQRT(Inputs!$E$6^2+Inputs!$E$7^2+Inputs!$E$8^2))</f>
        <v>-313.45400000000001</v>
      </c>
      <c r="T6" s="3">
        <f>IF(NOT(ISNUMBER($A6)),"",Inputs!$D$21+$A6*Inputs!$E$8/SQRT(Inputs!$E$6^2+Inputs!$E$7^2+Inputs!$E$8^2))</f>
        <v>182.18899999999999</v>
      </c>
      <c r="U6" s="3">
        <f>IF(NOT(ISNUMBER($A6)),"",Inputs!$B$19+Geometry!$C$15-R6)</f>
        <v>-24.932661268328502</v>
      </c>
      <c r="V6" s="3">
        <f>IF(NOT(ISNUMBER($A6)),"",Inputs!$C$19+Geometry!$C$16-S6)</f>
        <v>-127.76798447238372</v>
      </c>
      <c r="W6" s="3">
        <f>IF(NOT(ISNUMBER($A6)),"",Inputs!$D$19+Geometry!$C$17-T6)</f>
        <v>11.015351937228701</v>
      </c>
      <c r="X6" s="3">
        <f>IF(NOT(ISNUMBER($A6)),"",2*(U6*Geometry!$C$18+V6*Geometry!$C$19+W6*Geometry!$C$20))</f>
        <v>3010.9339361525458</v>
      </c>
      <c r="Y6" s="3">
        <f>IF(NOT(ISNUMBER($A6)),"",2*(U6*Geometry!$C$21+V6*Geometry!$C$22+W6*Geometry!$C$23))</f>
        <v>-39150.876727929208</v>
      </c>
      <c r="Z6" s="3">
        <f>IF(NOT(ISNUMBER($A6)),"",Geometry!$C$24^2-(U6^2+V6^2+W6^2)-(Geometry!$C$18^2+Geometry!$C$19^2+Geometry!$C$20^2))</f>
        <v>24772.197936152552</v>
      </c>
      <c r="AA6" s="3">
        <f t="shared" si="5"/>
        <v>39266.485349893286</v>
      </c>
      <c r="AB6" s="3">
        <f t="shared" si="6"/>
        <v>0.63087382828929139</v>
      </c>
      <c r="AC6" s="3">
        <f t="shared" si="7"/>
        <v>-1.494041498083795</v>
      </c>
      <c r="AD6" s="3">
        <f t="shared" si="8"/>
        <v>0.88811739654183797</v>
      </c>
      <c r="AE6" s="3">
        <f>IF(AC6="","",MOD(AC6+Geometry!$C$47*AD6+PI(),2*PI())-PI())</f>
        <v>-0.60592410154195697</v>
      </c>
      <c r="AF6" s="3" t="b">
        <f t="shared" si="9"/>
        <v>1</v>
      </c>
      <c r="AG6" s="3">
        <f>IF(AF6=FALSE,"",IF((Geometry!$C$28*COS(AE6)+Geometry!$C$32*SIN(AE6)+Geometry!$C$8*Geometry!$C$30*(1-COS(AE6)))&gt;=0,1,-1)*ACOS(MAX(-1,MIN(1,(Geometry!$C$27*COS(AE6)+Geometry!$C$31*SIN(AE6)+Geometry!$C$7*Geometry!$C$30*(1-COS(AE6)))/SQRT((Geometry!$C$27*COS(AE6)+Geometry!$C$31*SIN(AE6)+Geometry!$C$7*Geometry!$C$30*(1-COS(AE6)))^2+(Geometry!$C$28*COS(AE6)+Geometry!$C$32*SIN(AE6)+Geometry!$C$8*Geometry!$C$30*(1-COS(AE6)))^2))))*180/PI())</f>
        <v>-34.295910708197056</v>
      </c>
    </row>
    <row r="7" spans="1:33">
      <c r="A7" s="3">
        <f>IF(Inputs!$E$9+5*Inputs!$E$11&lt;=Inputs!$E$10,Inputs!$E$9+5*Inputs!$E$11,"")</f>
        <v>-55</v>
      </c>
      <c r="B7" s="3">
        <f>IF(NOT(ISNUMBER($A7)),"",Inputs!$B$17+$A7*Inputs!$E$6/SQRT(Inputs!$E$6^2+Inputs!$E$7^2+Inputs!$E$8^2))</f>
        <v>919.87300000000005</v>
      </c>
      <c r="C7" s="3">
        <f>IF(NOT(ISNUMBER($A7)),"",Inputs!$C$17+$A7*Inputs!$E$7/SQRT(Inputs!$E$6^2+Inputs!$E$7^2+Inputs!$E$8^2))</f>
        <v>202.45400000000001</v>
      </c>
      <c r="D7" s="3">
        <f>IF(NOT(ISNUMBER($A7)),"",Inputs!$D$17+$A7*Inputs!$E$8/SQRT(Inputs!$E$6^2+Inputs!$E$7^2+Inputs!$E$8^2))</f>
        <v>182.18899999999999</v>
      </c>
      <c r="E7" s="3">
        <f>IF(NOT(ISNUMBER($A7)),"",Inputs!$B$15+Geometry!$B$15-B7)</f>
        <v>-24.932661268328502</v>
      </c>
      <c r="F7" s="3">
        <f>IF(NOT(ISNUMBER($A7)),"",Inputs!$C$15+Geometry!$B$16-C7)</f>
        <v>238.76798447238372</v>
      </c>
      <c r="G7" s="3">
        <f>IF(NOT(ISNUMBER($A7)),"",Inputs!$D$15+Geometry!$B$17-D7)</f>
        <v>11.015351937228701</v>
      </c>
      <c r="H7" s="3">
        <f>IF(NOT(ISNUMBER($A7)),"",2*(E7*Geometry!$B$18+F7*Geometry!$B$19+G7*Geometry!$B$20))</f>
        <v>11564.375383283354</v>
      </c>
      <c r="I7" s="3">
        <f>IF(NOT(ISNUMBER($A7)),"",2*(E7*Geometry!$B$21+F7*Geometry!$B$22+G7*Geometry!$B$23))</f>
        <v>70950.419192435496</v>
      </c>
      <c r="J7" s="3">
        <f>IF(NOT(ISNUMBER($A7)),"",Geometry!$B$24^2-(E7^2+F7^2+G7^2)-(Geometry!$B$18^2+Geometry!$B$19^2+Geometry!$B$20^2))</f>
        <v>-15913.29461671663</v>
      </c>
      <c r="K7" s="3">
        <f t="shared" si="0"/>
        <v>71886.69391193206</v>
      </c>
      <c r="L7" s="3">
        <f t="shared" si="1"/>
        <v>-0.22136634404430822</v>
      </c>
      <c r="M7" s="3">
        <f t="shared" si="2"/>
        <v>1.409224778714687</v>
      </c>
      <c r="N7" s="3">
        <f t="shared" si="3"/>
        <v>1.79401167944704</v>
      </c>
      <c r="O7" s="3">
        <f>IF(M7="","",MOD(M7+Geometry!$B$47*N7+PI(),2*PI())-PI())</f>
        <v>-0.38478690073235278</v>
      </c>
      <c r="P7" s="3" t="b">
        <f t="shared" si="4"/>
        <v>1</v>
      </c>
      <c r="Q7" s="3">
        <f>IF(P7=FALSE,"",IF((Geometry!$B$28*COS(O7)+Geometry!$B$32*SIN(O7)+Geometry!$B$8*Geometry!$B$30*(1-COS(O7)))&gt;=0,1,-1)*ACOS(MAX(-1,MIN(1,(Geometry!$B$27*COS(O7)+Geometry!$B$31*SIN(O7)+Geometry!$B$7*Geometry!$B$30*(1-COS(O7)))/SQRT((Geometry!$B$27*COS(O7)+Geometry!$B$31*SIN(O7)+Geometry!$B$7*Geometry!$B$30*(1-COS(O7)))^2+(Geometry!$B$28*COS(O7)+Geometry!$B$32*SIN(O7)+Geometry!$B$8*Geometry!$B$30*(1-COS(O7)))^2))))*180/PI())</f>
        <v>-21.62143922267148</v>
      </c>
      <c r="R7" s="3">
        <f>IF(NOT(ISNUMBER($A7)),"",Inputs!$B$21+$A7*Inputs!$E$6/SQRT(Inputs!$E$6^2+Inputs!$E$7^2+Inputs!$E$8^2))</f>
        <v>919.87300000000005</v>
      </c>
      <c r="S7" s="3">
        <f>IF(NOT(ISNUMBER($A7)),"",Inputs!$C$21+$A7*Inputs!$E$7/SQRT(Inputs!$E$6^2+Inputs!$E$7^2+Inputs!$E$8^2))</f>
        <v>-312.45400000000001</v>
      </c>
      <c r="T7" s="3">
        <f>IF(NOT(ISNUMBER($A7)),"",Inputs!$D$21+$A7*Inputs!$E$8/SQRT(Inputs!$E$6^2+Inputs!$E$7^2+Inputs!$E$8^2))</f>
        <v>182.18899999999999</v>
      </c>
      <c r="U7" s="3">
        <f>IF(NOT(ISNUMBER($A7)),"",Inputs!$B$19+Geometry!$C$15-R7)</f>
        <v>-24.932661268328502</v>
      </c>
      <c r="V7" s="3">
        <f>IF(NOT(ISNUMBER($A7)),"",Inputs!$C$19+Geometry!$C$16-S7)</f>
        <v>-128.76798447238372</v>
      </c>
      <c r="W7" s="3">
        <f>IF(NOT(ISNUMBER($A7)),"",Inputs!$D$19+Geometry!$C$17-T7)</f>
        <v>11.015351937228701</v>
      </c>
      <c r="X7" s="3">
        <f>IF(NOT(ISNUMBER($A7)),"",2*(U7*Geometry!$C$18+V7*Geometry!$C$19+W7*Geometry!$C$20))</f>
        <v>3087.9919672077781</v>
      </c>
      <c r="Y7" s="3">
        <f>IF(NOT(ISNUMBER($A7)),"",2*(U7*Geometry!$C$21+V7*Geometry!$C$22+W7*Geometry!$C$23))</f>
        <v>-39437.359092474311</v>
      </c>
      <c r="Z7" s="3">
        <f>IF(NOT(ISNUMBER($A7)),"",Geometry!$C$24^2-(U7^2+V7^2+W7^2)-(Geometry!$C$18^2+Geometry!$C$19^2+Geometry!$C$20^2))</f>
        <v>24515.661967207787</v>
      </c>
      <c r="AA7" s="3">
        <f t="shared" si="5"/>
        <v>39558.07106746114</v>
      </c>
      <c r="AB7" s="3">
        <f t="shared" si="6"/>
        <v>0.61973855917796183</v>
      </c>
      <c r="AC7" s="3">
        <f t="shared" si="7"/>
        <v>-1.4926545787568331</v>
      </c>
      <c r="AD7" s="3">
        <f t="shared" si="8"/>
        <v>0.90238679439678982</v>
      </c>
      <c r="AE7" s="3">
        <f>IF(AC7="","",MOD(AC7+Geometry!$C$47*AD7+PI(),2*PI())-PI())</f>
        <v>-0.59026778436004346</v>
      </c>
      <c r="AF7" s="3" t="b">
        <f t="shared" si="9"/>
        <v>1</v>
      </c>
      <c r="AG7" s="3">
        <f>IF(AF7=FALSE,"",IF((Geometry!$C$28*COS(AE7)+Geometry!$C$32*SIN(AE7)+Geometry!$C$8*Geometry!$C$30*(1-COS(AE7)))&gt;=0,1,-1)*ACOS(MAX(-1,MIN(1,(Geometry!$C$27*COS(AE7)+Geometry!$C$31*SIN(AE7)+Geometry!$C$7*Geometry!$C$30*(1-COS(AE7)))/SQRT((Geometry!$C$27*COS(AE7)+Geometry!$C$31*SIN(AE7)+Geometry!$C$7*Geometry!$C$30*(1-COS(AE7)))^2+(Geometry!$C$28*COS(AE7)+Geometry!$C$32*SIN(AE7)+Geometry!$C$8*Geometry!$C$30*(1-COS(AE7)))^2))))*180/PI())</f>
        <v>-33.402924569272614</v>
      </c>
    </row>
    <row r="8" spans="1:33">
      <c r="A8" s="3">
        <f>IF(Inputs!$E$9+6*Inputs!$E$11&lt;=Inputs!$E$10,Inputs!$E$9+6*Inputs!$E$11,"")</f>
        <v>-54</v>
      </c>
      <c r="B8" s="3">
        <f>IF(NOT(ISNUMBER($A8)),"",Inputs!$B$17+$A8*Inputs!$E$6/SQRT(Inputs!$E$6^2+Inputs!$E$7^2+Inputs!$E$8^2))</f>
        <v>919.87300000000005</v>
      </c>
      <c r="C8" s="3">
        <f>IF(NOT(ISNUMBER($A8)),"",Inputs!$C$17+$A8*Inputs!$E$7/SQRT(Inputs!$E$6^2+Inputs!$E$7^2+Inputs!$E$8^2))</f>
        <v>203.45400000000001</v>
      </c>
      <c r="D8" s="3">
        <f>IF(NOT(ISNUMBER($A8)),"",Inputs!$D$17+$A8*Inputs!$E$8/SQRT(Inputs!$E$6^2+Inputs!$E$7^2+Inputs!$E$8^2))</f>
        <v>182.18899999999999</v>
      </c>
      <c r="E8" s="3">
        <f>IF(NOT(ISNUMBER($A8)),"",Inputs!$B$15+Geometry!$B$15-B8)</f>
        <v>-24.932661268328502</v>
      </c>
      <c r="F8" s="3">
        <f>IF(NOT(ISNUMBER($A8)),"",Inputs!$C$15+Geometry!$B$16-C8)</f>
        <v>237.76798447238372</v>
      </c>
      <c r="G8" s="3">
        <f>IF(NOT(ISNUMBER($A8)),"",Inputs!$D$15+Geometry!$B$17-D8)</f>
        <v>11.015351937228701</v>
      </c>
      <c r="H8" s="3">
        <f>IF(NOT(ISNUMBER($A8)),"",2*(E8*Geometry!$B$18+F8*Geometry!$B$19+G8*Geometry!$B$20))</f>
        <v>11487.317352228121</v>
      </c>
      <c r="I8" s="3">
        <f>IF(NOT(ISNUMBER($A8)),"",2*(E8*Geometry!$B$21+F8*Geometry!$B$22+G8*Geometry!$B$23))</f>
        <v>70663.9368278904</v>
      </c>
      <c r="J8" s="3">
        <f>IF(NOT(ISNUMBER($A8)),"",Geometry!$B$24^2-(E8^2+F8^2+G8^2)-(Geometry!$B$18^2+Geometry!$B$19^2+Geometry!$B$20^2))</f>
        <v>-15436.758647771865</v>
      </c>
      <c r="K8" s="3">
        <f t="shared" si="0"/>
        <v>71591.552769631191</v>
      </c>
      <c r="L8" s="3">
        <f t="shared" si="1"/>
        <v>-0.21562262656104964</v>
      </c>
      <c r="M8" s="3">
        <f t="shared" si="2"/>
        <v>1.4096433774554047</v>
      </c>
      <c r="N8" s="3">
        <f t="shared" si="3"/>
        <v>1.7881257373718387</v>
      </c>
      <c r="O8" s="3">
        <f>IF(M8="","",MOD(M8+Geometry!$B$47*N8+PI(),2*PI())-PI())</f>
        <v>-0.37848235991643397</v>
      </c>
      <c r="P8" s="3" t="b">
        <f t="shared" si="4"/>
        <v>1</v>
      </c>
      <c r="Q8" s="3">
        <f>IF(P8=FALSE,"",IF((Geometry!$B$28*COS(O8)+Geometry!$B$32*SIN(O8)+Geometry!$B$8*Geometry!$B$30*(1-COS(O8)))&gt;=0,1,-1)*ACOS(MAX(-1,MIN(1,(Geometry!$B$27*COS(O8)+Geometry!$B$31*SIN(O8)+Geometry!$B$7*Geometry!$B$30*(1-COS(O8)))/SQRT((Geometry!$B$27*COS(O8)+Geometry!$B$31*SIN(O8)+Geometry!$B$7*Geometry!$B$30*(1-COS(O8)))^2+(Geometry!$B$28*COS(O8)+Geometry!$B$32*SIN(O8)+Geometry!$B$8*Geometry!$B$30*(1-COS(O8)))^2))))*180/PI())</f>
        <v>-21.266885496637048</v>
      </c>
      <c r="R8" s="3">
        <f>IF(NOT(ISNUMBER($A8)),"",Inputs!$B$21+$A8*Inputs!$E$6/SQRT(Inputs!$E$6^2+Inputs!$E$7^2+Inputs!$E$8^2))</f>
        <v>919.87300000000005</v>
      </c>
      <c r="S8" s="3">
        <f>IF(NOT(ISNUMBER($A8)),"",Inputs!$C$21+$A8*Inputs!$E$7/SQRT(Inputs!$E$6^2+Inputs!$E$7^2+Inputs!$E$8^2))</f>
        <v>-311.45400000000001</v>
      </c>
      <c r="T8" s="3">
        <f>IF(NOT(ISNUMBER($A8)),"",Inputs!$D$21+$A8*Inputs!$E$8/SQRT(Inputs!$E$6^2+Inputs!$E$7^2+Inputs!$E$8^2))</f>
        <v>182.18899999999999</v>
      </c>
      <c r="U8" s="3">
        <f>IF(NOT(ISNUMBER($A8)),"",Inputs!$B$19+Geometry!$C$15-R8)</f>
        <v>-24.932661268328502</v>
      </c>
      <c r="V8" s="3">
        <f>IF(NOT(ISNUMBER($A8)),"",Inputs!$C$19+Geometry!$C$16-S8)</f>
        <v>-129.76798447238372</v>
      </c>
      <c r="W8" s="3">
        <f>IF(NOT(ISNUMBER($A8)),"",Inputs!$D$19+Geometry!$C$17-T8)</f>
        <v>11.015351937228701</v>
      </c>
      <c r="X8" s="3">
        <f>IF(NOT(ISNUMBER($A8)),"",2*(U8*Geometry!$C$18+V8*Geometry!$C$19+W8*Geometry!$C$20))</f>
        <v>3165.0499982630122</v>
      </c>
      <c r="Y8" s="3">
        <f>IF(NOT(ISNUMBER($A8)),"",2*(U8*Geometry!$C$21+V8*Geometry!$C$22+W8*Geometry!$C$23))</f>
        <v>-39723.841457019415</v>
      </c>
      <c r="Z8" s="3">
        <f>IF(NOT(ISNUMBER($A8)),"",Geometry!$C$24^2-(U8^2+V8^2+W8^2)-(Geometry!$C$18^2+Geometry!$C$19^2+Geometry!$C$20^2))</f>
        <v>24257.125998263014</v>
      </c>
      <c r="AA8" s="3">
        <f t="shared" si="5"/>
        <v>39849.731763136362</v>
      </c>
      <c r="AB8" s="3">
        <f t="shared" si="6"/>
        <v>0.6087149128743311</v>
      </c>
      <c r="AC8" s="3">
        <f t="shared" si="7"/>
        <v>-1.4912879585936156</v>
      </c>
      <c r="AD8" s="3">
        <f t="shared" si="8"/>
        <v>0.91635648828238225</v>
      </c>
      <c r="AE8" s="3">
        <f>IF(AC8="","",MOD(AC8+Geometry!$C$47*AD8+PI(),2*PI())-PI())</f>
        <v>-0.57493147031123337</v>
      </c>
      <c r="AF8" s="3" t="b">
        <f t="shared" si="9"/>
        <v>1</v>
      </c>
      <c r="AG8" s="3">
        <f>IF(AF8=FALSE,"",IF((Geometry!$C$28*COS(AE8)+Geometry!$C$32*SIN(AE8)+Geometry!$C$8*Geometry!$C$30*(1-COS(AE8)))&gt;=0,1,-1)*ACOS(MAX(-1,MIN(1,(Geometry!$C$27*COS(AE8)+Geometry!$C$31*SIN(AE8)+Geometry!$C$7*Geometry!$C$30*(1-COS(AE8)))/SQRT((Geometry!$C$27*COS(AE8)+Geometry!$C$31*SIN(AE8)+Geometry!$C$7*Geometry!$C$30*(1-COS(AE8)))^2+(Geometry!$C$28*COS(AE8)+Geometry!$C$32*SIN(AE8)+Geometry!$C$8*Geometry!$C$30*(1-COS(AE8)))^2))))*180/PI())</f>
        <v>-32.528557775995552</v>
      </c>
    </row>
    <row r="9" spans="1:33">
      <c r="A9" s="3">
        <f>IF(Inputs!$E$9+7*Inputs!$E$11&lt;=Inputs!$E$10,Inputs!$E$9+7*Inputs!$E$11,"")</f>
        <v>-53</v>
      </c>
      <c r="B9" s="3">
        <f>IF(NOT(ISNUMBER($A9)),"",Inputs!$B$17+$A9*Inputs!$E$6/SQRT(Inputs!$E$6^2+Inputs!$E$7^2+Inputs!$E$8^2))</f>
        <v>919.87300000000005</v>
      </c>
      <c r="C9" s="3">
        <f>IF(NOT(ISNUMBER($A9)),"",Inputs!$C$17+$A9*Inputs!$E$7/SQRT(Inputs!$E$6^2+Inputs!$E$7^2+Inputs!$E$8^2))</f>
        <v>204.45400000000001</v>
      </c>
      <c r="D9" s="3">
        <f>IF(NOT(ISNUMBER($A9)),"",Inputs!$D$17+$A9*Inputs!$E$8/SQRT(Inputs!$E$6^2+Inputs!$E$7^2+Inputs!$E$8^2))</f>
        <v>182.18899999999999</v>
      </c>
      <c r="E9" s="3">
        <f>IF(NOT(ISNUMBER($A9)),"",Inputs!$B$15+Geometry!$B$15-B9)</f>
        <v>-24.932661268328502</v>
      </c>
      <c r="F9" s="3">
        <f>IF(NOT(ISNUMBER($A9)),"",Inputs!$C$15+Geometry!$B$16-C9)</f>
        <v>236.76798447238372</v>
      </c>
      <c r="G9" s="3">
        <f>IF(NOT(ISNUMBER($A9)),"",Inputs!$D$15+Geometry!$B$17-D9)</f>
        <v>11.015351937228701</v>
      </c>
      <c r="H9" s="3">
        <f>IF(NOT(ISNUMBER($A9)),"",2*(E9*Geometry!$B$18+F9*Geometry!$B$19+G9*Geometry!$B$20))</f>
        <v>11410.259321172889</v>
      </c>
      <c r="I9" s="3">
        <f>IF(NOT(ISNUMBER($A9)),"",2*(E9*Geometry!$B$21+F9*Geometry!$B$22+G9*Geometry!$B$23))</f>
        <v>70377.454463345304</v>
      </c>
      <c r="J9" s="3">
        <f>IF(NOT(ISNUMBER($A9)),"",Geometry!$B$24^2-(E9^2+F9^2+G9^2)-(Geometry!$B$18^2+Geometry!$B$19^2+Geometry!$B$20^2))</f>
        <v>-14962.2226788271</v>
      </c>
      <c r="K9" s="3">
        <f t="shared" si="0"/>
        <v>71296.424275812416</v>
      </c>
      <c r="L9" s="3">
        <f t="shared" si="1"/>
        <v>-0.20985936995865712</v>
      </c>
      <c r="M9" s="3">
        <f t="shared" si="2"/>
        <v>1.4100654418136971</v>
      </c>
      <c r="N9" s="3">
        <f t="shared" si="3"/>
        <v>1.7822274513579561</v>
      </c>
      <c r="O9" s="3">
        <f>IF(M9="","",MOD(M9+Geometry!$B$47*N9+PI(),2*PI())-PI())</f>
        <v>-0.37216200954425904</v>
      </c>
      <c r="P9" s="3" t="b">
        <f t="shared" si="4"/>
        <v>1</v>
      </c>
      <c r="Q9" s="3">
        <f>IF(P9=FALSE,"",IF((Geometry!$B$28*COS(O9)+Geometry!$B$32*SIN(O9)+Geometry!$B$8*Geometry!$B$30*(1-COS(O9)))&gt;=0,1,-1)*ACOS(MAX(-1,MIN(1,(Geometry!$B$27*COS(O9)+Geometry!$B$31*SIN(O9)+Geometry!$B$7*Geometry!$B$30*(1-COS(O9)))/SQRT((Geometry!$B$27*COS(O9)+Geometry!$B$31*SIN(O9)+Geometry!$B$7*Geometry!$B$30*(1-COS(O9)))^2+(Geometry!$B$28*COS(O9)+Geometry!$B$32*SIN(O9)+Geometry!$B$8*Geometry!$B$30*(1-COS(O9)))^2))))*180/PI())</f>
        <v>-20.911472813677911</v>
      </c>
      <c r="R9" s="3">
        <f>IF(NOT(ISNUMBER($A9)),"",Inputs!$B$21+$A9*Inputs!$E$6/SQRT(Inputs!$E$6^2+Inputs!$E$7^2+Inputs!$E$8^2))</f>
        <v>919.87300000000005</v>
      </c>
      <c r="S9" s="3">
        <f>IF(NOT(ISNUMBER($A9)),"",Inputs!$C$21+$A9*Inputs!$E$7/SQRT(Inputs!$E$6^2+Inputs!$E$7^2+Inputs!$E$8^2))</f>
        <v>-310.45400000000001</v>
      </c>
      <c r="T9" s="3">
        <f>IF(NOT(ISNUMBER($A9)),"",Inputs!$D$21+$A9*Inputs!$E$8/SQRT(Inputs!$E$6^2+Inputs!$E$7^2+Inputs!$E$8^2))</f>
        <v>182.18899999999999</v>
      </c>
      <c r="U9" s="3">
        <f>IF(NOT(ISNUMBER($A9)),"",Inputs!$B$19+Geometry!$C$15-R9)</f>
        <v>-24.932661268328502</v>
      </c>
      <c r="V9" s="3">
        <f>IF(NOT(ISNUMBER($A9)),"",Inputs!$C$19+Geometry!$C$16-S9)</f>
        <v>-130.76798447238372</v>
      </c>
      <c r="W9" s="3">
        <f>IF(NOT(ISNUMBER($A9)),"",Inputs!$D$19+Geometry!$C$17-T9)</f>
        <v>11.015351937228701</v>
      </c>
      <c r="X9" s="3">
        <f>IF(NOT(ISNUMBER($A9)),"",2*(U9*Geometry!$C$18+V9*Geometry!$C$19+W9*Geometry!$C$20))</f>
        <v>3242.1080293182445</v>
      </c>
      <c r="Y9" s="3">
        <f>IF(NOT(ISNUMBER($A9)),"",2*(U9*Geometry!$C$21+V9*Geometry!$C$22+W9*Geometry!$C$23))</f>
        <v>-40010.323821564518</v>
      </c>
      <c r="Z9" s="3">
        <f>IF(NOT(ISNUMBER($A9)),"",Geometry!$C$24^2-(U9^2+V9^2+W9^2)-(Geometry!$C$18^2+Geometry!$C$19^2+Geometry!$C$20^2))</f>
        <v>23996.590029318249</v>
      </c>
      <c r="AA9" s="3">
        <f t="shared" si="5"/>
        <v>40141.465802586521</v>
      </c>
      <c r="AB9" s="3">
        <f t="shared" si="6"/>
        <v>0.59780054239504188</v>
      </c>
      <c r="AC9" s="3">
        <f t="shared" si="7"/>
        <v>-1.4899412001738042</v>
      </c>
      <c r="AD9" s="3">
        <f t="shared" si="8"/>
        <v>0.93004171474586539</v>
      </c>
      <c r="AE9" s="3">
        <f>IF(AC9="","",MOD(AC9+Geometry!$C$47*AD9+PI(),2*PI())-PI())</f>
        <v>-0.55989948542793888</v>
      </c>
      <c r="AF9" s="3" t="b">
        <f t="shared" si="9"/>
        <v>1</v>
      </c>
      <c r="AG9" s="3">
        <f>IF(AF9=FALSE,"",IF((Geometry!$C$28*COS(AE9)+Geometry!$C$32*SIN(AE9)+Geometry!$C$8*Geometry!$C$30*(1-COS(AE9)))&gt;=0,1,-1)*ACOS(MAX(-1,MIN(1,(Geometry!$C$27*COS(AE9)+Geometry!$C$31*SIN(AE9)+Geometry!$C$7*Geometry!$C$30*(1-COS(AE9)))/SQRT((Geometry!$C$27*COS(AE9)+Geometry!$C$31*SIN(AE9)+Geometry!$C$7*Geometry!$C$30*(1-COS(AE9)))^2+(Geometry!$C$28*COS(AE9)+Geometry!$C$32*SIN(AE9)+Geometry!$C$8*Geometry!$C$30*(1-COS(AE9)))^2))))*180/PI())</f>
        <v>-31.671896951601102</v>
      </c>
    </row>
    <row r="10" spans="1:33">
      <c r="A10" s="3">
        <f>IF(Inputs!$E$9+8*Inputs!$E$11&lt;=Inputs!$E$10,Inputs!$E$9+8*Inputs!$E$11,"")</f>
        <v>-52</v>
      </c>
      <c r="B10" s="3">
        <f>IF(NOT(ISNUMBER($A10)),"",Inputs!$B$17+$A10*Inputs!$E$6/SQRT(Inputs!$E$6^2+Inputs!$E$7^2+Inputs!$E$8^2))</f>
        <v>919.87300000000005</v>
      </c>
      <c r="C10" s="3">
        <f>IF(NOT(ISNUMBER($A10)),"",Inputs!$C$17+$A10*Inputs!$E$7/SQRT(Inputs!$E$6^2+Inputs!$E$7^2+Inputs!$E$8^2))</f>
        <v>205.45400000000001</v>
      </c>
      <c r="D10" s="3">
        <f>IF(NOT(ISNUMBER($A10)),"",Inputs!$D$17+$A10*Inputs!$E$8/SQRT(Inputs!$E$6^2+Inputs!$E$7^2+Inputs!$E$8^2))</f>
        <v>182.18899999999999</v>
      </c>
      <c r="E10" s="3">
        <f>IF(NOT(ISNUMBER($A10)),"",Inputs!$B$15+Geometry!$B$15-B10)</f>
        <v>-24.932661268328502</v>
      </c>
      <c r="F10" s="3">
        <f>IF(NOT(ISNUMBER($A10)),"",Inputs!$C$15+Geometry!$B$16-C10)</f>
        <v>235.76798447238372</v>
      </c>
      <c r="G10" s="3">
        <f>IF(NOT(ISNUMBER($A10)),"",Inputs!$D$15+Geometry!$B$17-D10)</f>
        <v>11.015351937228701</v>
      </c>
      <c r="H10" s="3">
        <f>IF(NOT(ISNUMBER($A10)),"",2*(E10*Geometry!$B$18+F10*Geometry!$B$19+G10*Geometry!$B$20))</f>
        <v>11333.201290117657</v>
      </c>
      <c r="I10" s="3">
        <f>IF(NOT(ISNUMBER($A10)),"",2*(E10*Geometry!$B$21+F10*Geometry!$B$22+G10*Geometry!$B$23))</f>
        <v>70090.972098800194</v>
      </c>
      <c r="J10" s="3">
        <f>IF(NOT(ISNUMBER($A10)),"",Geometry!$B$24^2-(E10^2+F10^2+G10^2)-(Geometry!$B$18^2+Geometry!$B$19^2+Geometry!$B$20^2))</f>
        <v>-14489.686709882328</v>
      </c>
      <c r="K10" s="3">
        <f t="shared" si="0"/>
        <v>71001.30858820217</v>
      </c>
      <c r="L10" s="3">
        <f t="shared" si="1"/>
        <v>-0.20407633321127247</v>
      </c>
      <c r="M10" s="3">
        <f t="shared" si="2"/>
        <v>1.4104910148544574</v>
      </c>
      <c r="N10" s="3">
        <f t="shared" si="3"/>
        <v>1.7763164178509399</v>
      </c>
      <c r="O10" s="3">
        <f>IF(M10="","",MOD(M10+Geometry!$B$47*N10+PI(),2*PI())-PI())</f>
        <v>-0.36582540299648247</v>
      </c>
      <c r="P10" s="3" t="b">
        <f t="shared" si="4"/>
        <v>1</v>
      </c>
      <c r="Q10" s="3">
        <f>IF(P10=FALSE,"",IF((Geometry!$B$28*COS(O10)+Geometry!$B$32*SIN(O10)+Geometry!$B$8*Geometry!$B$30*(1-COS(O10)))&gt;=0,1,-1)*ACOS(MAX(-1,MIN(1,(Geometry!$B$27*COS(O10)+Geometry!$B$31*SIN(O10)+Geometry!$B$7*Geometry!$B$30*(1-COS(O10)))/SQRT((Geometry!$B$27*COS(O10)+Geometry!$B$31*SIN(O10)+Geometry!$B$7*Geometry!$B$30*(1-COS(O10)))^2+(Geometry!$B$28*COS(O10)+Geometry!$B$32*SIN(O10)+Geometry!$B$8*Geometry!$B$30*(1-COS(O10)))^2))))*180/PI())</f>
        <v>-20.555175236997517</v>
      </c>
      <c r="R10" s="3">
        <f>IF(NOT(ISNUMBER($A10)),"",Inputs!$B$21+$A10*Inputs!$E$6/SQRT(Inputs!$E$6^2+Inputs!$E$7^2+Inputs!$E$8^2))</f>
        <v>919.87300000000005</v>
      </c>
      <c r="S10" s="3">
        <f>IF(NOT(ISNUMBER($A10)),"",Inputs!$C$21+$A10*Inputs!$E$7/SQRT(Inputs!$E$6^2+Inputs!$E$7^2+Inputs!$E$8^2))</f>
        <v>-309.45400000000001</v>
      </c>
      <c r="T10" s="3">
        <f>IF(NOT(ISNUMBER($A10)),"",Inputs!$D$21+$A10*Inputs!$E$8/SQRT(Inputs!$E$6^2+Inputs!$E$7^2+Inputs!$E$8^2))</f>
        <v>182.18899999999999</v>
      </c>
      <c r="U10" s="3">
        <f>IF(NOT(ISNUMBER($A10)),"",Inputs!$B$19+Geometry!$C$15-R10)</f>
        <v>-24.932661268328502</v>
      </c>
      <c r="V10" s="3">
        <f>IF(NOT(ISNUMBER($A10)),"",Inputs!$C$19+Geometry!$C$16-S10)</f>
        <v>-131.76798447238372</v>
      </c>
      <c r="W10" s="3">
        <f>IF(NOT(ISNUMBER($A10)),"",Inputs!$D$19+Geometry!$C$17-T10)</f>
        <v>11.015351937228701</v>
      </c>
      <c r="X10" s="3">
        <f>IF(NOT(ISNUMBER($A10)),"",2*(U10*Geometry!$C$18+V10*Geometry!$C$19+W10*Geometry!$C$20))</f>
        <v>3319.1660603734767</v>
      </c>
      <c r="Y10" s="3">
        <f>IF(NOT(ISNUMBER($A10)),"",2*(U10*Geometry!$C$21+V10*Geometry!$C$22+W10*Geometry!$C$23))</f>
        <v>-40296.806186109614</v>
      </c>
      <c r="Z10" s="3">
        <f>IF(NOT(ISNUMBER($A10)),"",Geometry!$C$24^2-(U10^2+V10^2+W10^2)-(Geometry!$C$18^2+Geometry!$C$19^2+Geometry!$C$20^2))</f>
        <v>23734.054060373484</v>
      </c>
      <c r="AA10" s="3">
        <f t="shared" si="5"/>
        <v>40433.271598242172</v>
      </c>
      <c r="AB10" s="3">
        <f t="shared" si="6"/>
        <v>0.5869931648421276</v>
      </c>
      <c r="AC10" s="3">
        <f t="shared" si="7"/>
        <v>-1.4886138784114797</v>
      </c>
      <c r="AD10" s="3">
        <f t="shared" si="8"/>
        <v>0.94345652218668496</v>
      </c>
      <c r="AE10" s="3">
        <f>IF(AC10="","",MOD(AC10+Geometry!$C$47*AD10+PI(),2*PI())-PI())</f>
        <v>-0.54515735622479466</v>
      </c>
      <c r="AF10" s="3" t="b">
        <f t="shared" si="9"/>
        <v>1</v>
      </c>
      <c r="AG10" s="3">
        <f>IF(AF10=FALSE,"",IF((Geometry!$C$28*COS(AE10)+Geometry!$C$32*SIN(AE10)+Geometry!$C$8*Geometry!$C$30*(1-COS(AE10)))&gt;=0,1,-1)*ACOS(MAX(-1,MIN(1,(Geometry!$C$27*COS(AE10)+Geometry!$C$31*SIN(AE10)+Geometry!$C$7*Geometry!$C$30*(1-COS(AE10)))/SQRT((Geometry!$C$27*COS(AE10)+Geometry!$C$31*SIN(AE10)+Geometry!$C$7*Geometry!$C$30*(1-COS(AE10)))^2+(Geometry!$C$28*COS(AE10)+Geometry!$C$32*SIN(AE10)+Geometry!$C$8*Geometry!$C$30*(1-COS(AE10)))^2))))*180/PI())</f>
        <v>-30.832098332520761</v>
      </c>
    </row>
    <row r="11" spans="1:33">
      <c r="A11" s="3">
        <f>IF(Inputs!$E$9+9*Inputs!$E$11&lt;=Inputs!$E$10,Inputs!$E$9+9*Inputs!$E$11,"")</f>
        <v>-51</v>
      </c>
      <c r="B11" s="3">
        <f>IF(NOT(ISNUMBER($A11)),"",Inputs!$B$17+$A11*Inputs!$E$6/SQRT(Inputs!$E$6^2+Inputs!$E$7^2+Inputs!$E$8^2))</f>
        <v>919.87300000000005</v>
      </c>
      <c r="C11" s="3">
        <f>IF(NOT(ISNUMBER($A11)),"",Inputs!$C$17+$A11*Inputs!$E$7/SQRT(Inputs!$E$6^2+Inputs!$E$7^2+Inputs!$E$8^2))</f>
        <v>206.45400000000001</v>
      </c>
      <c r="D11" s="3">
        <f>IF(NOT(ISNUMBER($A11)),"",Inputs!$D$17+$A11*Inputs!$E$8/SQRT(Inputs!$E$6^2+Inputs!$E$7^2+Inputs!$E$8^2))</f>
        <v>182.18899999999999</v>
      </c>
      <c r="E11" s="3">
        <f>IF(NOT(ISNUMBER($A11)),"",Inputs!$B$15+Geometry!$B$15-B11)</f>
        <v>-24.932661268328502</v>
      </c>
      <c r="F11" s="3">
        <f>IF(NOT(ISNUMBER($A11)),"",Inputs!$C$15+Geometry!$B$16-C11)</f>
        <v>234.76798447238372</v>
      </c>
      <c r="G11" s="3">
        <f>IF(NOT(ISNUMBER($A11)),"",Inputs!$D$15+Geometry!$B$17-D11)</f>
        <v>11.015351937228701</v>
      </c>
      <c r="H11" s="3">
        <f>IF(NOT(ISNUMBER($A11)),"",2*(E11*Geometry!$B$18+F11*Geometry!$B$19+G11*Geometry!$B$20))</f>
        <v>11256.143259062424</v>
      </c>
      <c r="I11" s="3">
        <f>IF(NOT(ISNUMBER($A11)),"",2*(E11*Geometry!$B$21+F11*Geometry!$B$22+G11*Geometry!$B$23))</f>
        <v>69804.489734255098</v>
      </c>
      <c r="J11" s="3">
        <f>IF(NOT(ISNUMBER($A11)),"",Geometry!$B$24^2-(E11^2+F11^2+G11^2)-(Geometry!$B$18^2+Geometry!$B$19^2+Geometry!$B$20^2))</f>
        <v>-14019.150740937563</v>
      </c>
      <c r="K11" s="3">
        <f t="shared" si="0"/>
        <v>70706.205867153287</v>
      </c>
      <c r="L11" s="3">
        <f t="shared" si="1"/>
        <v>-0.19827327133459141</v>
      </c>
      <c r="M11" s="3">
        <f t="shared" si="2"/>
        <v>1.4109201403564926</v>
      </c>
      <c r="N11" s="3">
        <f t="shared" si="3"/>
        <v>1.7703922284822875</v>
      </c>
      <c r="O11" s="3">
        <f>IF(M11="","",MOD(M11+Geometry!$B$47*N11+PI(),2*PI())-PI())</f>
        <v>-0.3594720881257949</v>
      </c>
      <c r="P11" s="3" t="b">
        <f t="shared" si="4"/>
        <v>1</v>
      </c>
      <c r="Q11" s="3">
        <f>IF(P11=FALSE,"",IF((Geometry!$B$28*COS(O11)+Geometry!$B$32*SIN(O11)+Geometry!$B$8*Geometry!$B$30*(1-COS(O11)))&gt;=0,1,-1)*ACOS(MAX(-1,MIN(1,(Geometry!$B$27*COS(O11)+Geometry!$B$31*SIN(O11)+Geometry!$B$7*Geometry!$B$30*(1-COS(O11)))/SQRT((Geometry!$B$27*COS(O11)+Geometry!$B$31*SIN(O11)+Geometry!$B$7*Geometry!$B$30*(1-COS(O11)))^2+(Geometry!$B$28*COS(O11)+Geometry!$B$32*SIN(O11)+Geometry!$B$8*Geometry!$B$30*(1-COS(O11)))^2))))*180/PI())</f>
        <v>-20.197966511150977</v>
      </c>
      <c r="R11" s="3">
        <f>IF(NOT(ISNUMBER($A11)),"",Inputs!$B$21+$A11*Inputs!$E$6/SQRT(Inputs!$E$6^2+Inputs!$E$7^2+Inputs!$E$8^2))</f>
        <v>919.87300000000005</v>
      </c>
      <c r="S11" s="3">
        <f>IF(NOT(ISNUMBER($A11)),"",Inputs!$C$21+$A11*Inputs!$E$7/SQRT(Inputs!$E$6^2+Inputs!$E$7^2+Inputs!$E$8^2))</f>
        <v>-308.45400000000001</v>
      </c>
      <c r="T11" s="3">
        <f>IF(NOT(ISNUMBER($A11)),"",Inputs!$D$21+$A11*Inputs!$E$8/SQRT(Inputs!$E$6^2+Inputs!$E$7^2+Inputs!$E$8^2))</f>
        <v>182.18899999999999</v>
      </c>
      <c r="U11" s="3">
        <f>IF(NOT(ISNUMBER($A11)),"",Inputs!$B$19+Geometry!$C$15-R11)</f>
        <v>-24.932661268328502</v>
      </c>
      <c r="V11" s="3">
        <f>IF(NOT(ISNUMBER($A11)),"",Inputs!$C$19+Geometry!$C$16-S11)</f>
        <v>-132.76798447238372</v>
      </c>
      <c r="W11" s="3">
        <f>IF(NOT(ISNUMBER($A11)),"",Inputs!$D$19+Geometry!$C$17-T11)</f>
        <v>11.015351937228701</v>
      </c>
      <c r="X11" s="3">
        <f>IF(NOT(ISNUMBER($A11)),"",2*(U11*Geometry!$C$18+V11*Geometry!$C$19+W11*Geometry!$C$20))</f>
        <v>3396.224091428709</v>
      </c>
      <c r="Y11" s="3">
        <f>IF(NOT(ISNUMBER($A11)),"",2*(U11*Geometry!$C$21+V11*Geometry!$C$22+W11*Geometry!$C$23))</f>
        <v>-40583.288550654717</v>
      </c>
      <c r="Z11" s="3">
        <f>IF(NOT(ISNUMBER($A11)),"",Geometry!$C$24^2-(U11^2+V11^2+W11^2)-(Geometry!$C$18^2+Geometry!$C$19^2+Geometry!$C$20^2))</f>
        <v>23469.518091428719</v>
      </c>
      <c r="AA11" s="3">
        <f t="shared" si="5"/>
        <v>40725.147607650273</v>
      </c>
      <c r="AB11" s="3">
        <f t="shared" si="6"/>
        <v>0.57629055927644912</v>
      </c>
      <c r="AC11" s="3">
        <f t="shared" si="7"/>
        <v>-1.4873055801285746</v>
      </c>
      <c r="AD11" s="3">
        <f t="shared" si="8"/>
        <v>0.95661389776260708</v>
      </c>
      <c r="AE11" s="3">
        <f>IF(AC11="","",MOD(AC11+Geometry!$C$47*AD11+PI(),2*PI())-PI())</f>
        <v>-0.53069168236596731</v>
      </c>
      <c r="AF11" s="3" t="b">
        <f t="shared" si="9"/>
        <v>1</v>
      </c>
      <c r="AG11" s="3">
        <f>IF(AF11=FALSE,"",IF((Geometry!$C$28*COS(AE11)+Geometry!$C$32*SIN(AE11)+Geometry!$C$8*Geometry!$C$30*(1-COS(AE11)))&gt;=0,1,-1)*ACOS(MAX(-1,MIN(1,(Geometry!$C$27*COS(AE11)+Geometry!$C$31*SIN(AE11)+Geometry!$C$7*Geometry!$C$30*(1-COS(AE11)))/SQRT((Geometry!$C$27*COS(AE11)+Geometry!$C$31*SIN(AE11)+Geometry!$C$7*Geometry!$C$30*(1-COS(AE11)))^2+(Geometry!$C$28*COS(AE11)+Geometry!$C$32*SIN(AE11)+Geometry!$C$8*Geometry!$C$30*(1-COS(AE11)))^2))))*180/PI())</f>
        <v>-30.00838041652279</v>
      </c>
    </row>
    <row r="12" spans="1:33">
      <c r="A12" s="3">
        <f>IF(Inputs!$E$9+10*Inputs!$E$11&lt;=Inputs!$E$10,Inputs!$E$9+10*Inputs!$E$11,"")</f>
        <v>-50</v>
      </c>
      <c r="B12" s="3">
        <f>IF(NOT(ISNUMBER($A12)),"",Inputs!$B$17+$A12*Inputs!$E$6/SQRT(Inputs!$E$6^2+Inputs!$E$7^2+Inputs!$E$8^2))</f>
        <v>919.87300000000005</v>
      </c>
      <c r="C12" s="3">
        <f>IF(NOT(ISNUMBER($A12)),"",Inputs!$C$17+$A12*Inputs!$E$7/SQRT(Inputs!$E$6^2+Inputs!$E$7^2+Inputs!$E$8^2))</f>
        <v>207.45400000000001</v>
      </c>
      <c r="D12" s="3">
        <f>IF(NOT(ISNUMBER($A12)),"",Inputs!$D$17+$A12*Inputs!$E$8/SQRT(Inputs!$E$6^2+Inputs!$E$7^2+Inputs!$E$8^2))</f>
        <v>182.18899999999999</v>
      </c>
      <c r="E12" s="3">
        <f>IF(NOT(ISNUMBER($A12)),"",Inputs!$B$15+Geometry!$B$15-B12)</f>
        <v>-24.932661268328502</v>
      </c>
      <c r="F12" s="3">
        <f>IF(NOT(ISNUMBER($A12)),"",Inputs!$C$15+Geometry!$B$16-C12)</f>
        <v>233.76798447238372</v>
      </c>
      <c r="G12" s="3">
        <f>IF(NOT(ISNUMBER($A12)),"",Inputs!$D$15+Geometry!$B$17-D12)</f>
        <v>11.015351937228701</v>
      </c>
      <c r="H12" s="3">
        <f>IF(NOT(ISNUMBER($A12)),"",2*(E12*Geometry!$B$18+F12*Geometry!$B$19+G12*Geometry!$B$20))</f>
        <v>11179.085228007192</v>
      </c>
      <c r="I12" s="3">
        <f>IF(NOT(ISNUMBER($A12)),"",2*(E12*Geometry!$B$21+F12*Geometry!$B$22+G12*Geometry!$B$23))</f>
        <v>69518.007369710002</v>
      </c>
      <c r="J12" s="3">
        <f>IF(NOT(ISNUMBER($A12)),"",Geometry!$B$24^2-(E12^2+F12^2+G12^2)-(Geometry!$B$18^2+Geometry!$B$19^2+Geometry!$B$20^2))</f>
        <v>-13550.614771992798</v>
      </c>
      <c r="K12" s="3">
        <f t="shared" si="0"/>
        <v>70411.116275699693</v>
      </c>
      <c r="L12" s="3">
        <f t="shared" si="1"/>
        <v>-0.19244993530473808</v>
      </c>
      <c r="M12" s="3">
        <f t="shared" si="2"/>
        <v>1.411352862827324</v>
      </c>
      <c r="N12" s="3">
        <f t="shared" si="3"/>
        <v>1.764454469872393</v>
      </c>
      <c r="O12" s="3">
        <f>IF(M12="","",MOD(M12+Geometry!$B$47*N12+PI(),2*PI())-PI())</f>
        <v>-0.35310160704506899</v>
      </c>
      <c r="P12" s="3" t="b">
        <f t="shared" si="4"/>
        <v>1</v>
      </c>
      <c r="Q12" s="3">
        <f>IF(P12=FALSE,"",IF((Geometry!$B$28*COS(O12)+Geometry!$B$32*SIN(O12)+Geometry!$B$8*Geometry!$B$30*(1-COS(O12)))&gt;=0,1,-1)*ACOS(MAX(-1,MIN(1,(Geometry!$B$27*COS(O12)+Geometry!$B$31*SIN(O12)+Geometry!$B$7*Geometry!$B$30*(1-COS(O12)))/SQRT((Geometry!$B$27*COS(O12)+Geometry!$B$31*SIN(O12)+Geometry!$B$7*Geometry!$B$30*(1-COS(O12)))^2+(Geometry!$B$28*COS(O12)+Geometry!$B$32*SIN(O12)+Geometry!$B$8*Geometry!$B$30*(1-COS(O12)))^2))))*180/PI())</f>
        <v>-19.839820049593371</v>
      </c>
      <c r="R12" s="3">
        <f>IF(NOT(ISNUMBER($A12)),"",Inputs!$B$21+$A12*Inputs!$E$6/SQRT(Inputs!$E$6^2+Inputs!$E$7^2+Inputs!$E$8^2))</f>
        <v>919.87300000000005</v>
      </c>
      <c r="S12" s="3">
        <f>IF(NOT(ISNUMBER($A12)),"",Inputs!$C$21+$A12*Inputs!$E$7/SQRT(Inputs!$E$6^2+Inputs!$E$7^2+Inputs!$E$8^2))</f>
        <v>-307.45400000000001</v>
      </c>
      <c r="T12" s="3">
        <f>IF(NOT(ISNUMBER($A12)),"",Inputs!$D$21+$A12*Inputs!$E$8/SQRT(Inputs!$E$6^2+Inputs!$E$7^2+Inputs!$E$8^2))</f>
        <v>182.18899999999999</v>
      </c>
      <c r="U12" s="3">
        <f>IF(NOT(ISNUMBER($A12)),"",Inputs!$B$19+Geometry!$C$15-R12)</f>
        <v>-24.932661268328502</v>
      </c>
      <c r="V12" s="3">
        <f>IF(NOT(ISNUMBER($A12)),"",Inputs!$C$19+Geometry!$C$16-S12)</f>
        <v>-133.76798447238372</v>
      </c>
      <c r="W12" s="3">
        <f>IF(NOT(ISNUMBER($A12)),"",Inputs!$D$19+Geometry!$C$17-T12)</f>
        <v>11.015351937228701</v>
      </c>
      <c r="X12" s="3">
        <f>IF(NOT(ISNUMBER($A12)),"",2*(U12*Geometry!$C$18+V12*Geometry!$C$19+W12*Geometry!$C$20))</f>
        <v>3473.2821224839413</v>
      </c>
      <c r="Y12" s="3">
        <f>IF(NOT(ISNUMBER($A12)),"",2*(U12*Geometry!$C$21+V12*Geometry!$C$22+W12*Geometry!$C$23))</f>
        <v>-40869.770915199821</v>
      </c>
      <c r="Z12" s="3">
        <f>IF(NOT(ISNUMBER($A12)),"",Geometry!$C$24^2-(U12^2+V12^2+W12^2)-(Geometry!$C$18^2+Geometry!$C$19^2+Geometry!$C$20^2))</f>
        <v>23202.982122483947</v>
      </c>
      <c r="AA12" s="3">
        <f t="shared" si="5"/>
        <v>41017.092331895976</v>
      </c>
      <c r="AB12" s="3">
        <f t="shared" si="6"/>
        <v>0.56569056467322265</v>
      </c>
      <c r="AC12" s="3">
        <f t="shared" si="7"/>
        <v>-1.4860159036456675</v>
      </c>
      <c r="AD12" s="3">
        <f t="shared" si="8"/>
        <v>0.96952587727159767</v>
      </c>
      <c r="AE12" s="3">
        <f>IF(AC12="","",MOD(AC12+Geometry!$C$47*AD12+PI(),2*PI())-PI())</f>
        <v>-0.51649002637406971</v>
      </c>
      <c r="AF12" s="3" t="b">
        <f t="shared" si="9"/>
        <v>1</v>
      </c>
      <c r="AG12" s="3">
        <f>IF(AF12=FALSE,"",IF((Geometry!$C$28*COS(AE12)+Geometry!$C$32*SIN(AE12)+Geometry!$C$8*Geometry!$C$30*(1-COS(AE12)))&gt;=0,1,-1)*ACOS(MAX(-1,MIN(1,(Geometry!$C$27*COS(AE12)+Geometry!$C$31*SIN(AE12)+Geometry!$C$7*Geometry!$C$30*(1-COS(AE12)))/SQRT((Geometry!$C$27*COS(AE12)+Geometry!$C$31*SIN(AE12)+Geometry!$C$7*Geometry!$C$30*(1-COS(AE12)))^2+(Geometry!$C$28*COS(AE12)+Geometry!$C$32*SIN(AE12)+Geometry!$C$8*Geometry!$C$30*(1-COS(AE12)))^2))))*180/PI())</f>
        <v>-29.200017592334312</v>
      </c>
    </row>
    <row r="13" spans="1:33">
      <c r="A13" s="3">
        <f>IF(Inputs!$E$9+11*Inputs!$E$11&lt;=Inputs!$E$10,Inputs!$E$9+11*Inputs!$E$11,"")</f>
        <v>-49</v>
      </c>
      <c r="B13" s="3">
        <f>IF(NOT(ISNUMBER($A13)),"",Inputs!$B$17+$A13*Inputs!$E$6/SQRT(Inputs!$E$6^2+Inputs!$E$7^2+Inputs!$E$8^2))</f>
        <v>919.87300000000005</v>
      </c>
      <c r="C13" s="3">
        <f>IF(NOT(ISNUMBER($A13)),"",Inputs!$C$17+$A13*Inputs!$E$7/SQRT(Inputs!$E$6^2+Inputs!$E$7^2+Inputs!$E$8^2))</f>
        <v>208.45400000000001</v>
      </c>
      <c r="D13" s="3">
        <f>IF(NOT(ISNUMBER($A13)),"",Inputs!$D$17+$A13*Inputs!$E$8/SQRT(Inputs!$E$6^2+Inputs!$E$7^2+Inputs!$E$8^2))</f>
        <v>182.18899999999999</v>
      </c>
      <c r="E13" s="3">
        <f>IF(NOT(ISNUMBER($A13)),"",Inputs!$B$15+Geometry!$B$15-B13)</f>
        <v>-24.932661268328502</v>
      </c>
      <c r="F13" s="3">
        <f>IF(NOT(ISNUMBER($A13)),"",Inputs!$C$15+Geometry!$B$16-C13)</f>
        <v>232.76798447238372</v>
      </c>
      <c r="G13" s="3">
        <f>IF(NOT(ISNUMBER($A13)),"",Inputs!$D$15+Geometry!$B$17-D13)</f>
        <v>11.015351937228701</v>
      </c>
      <c r="H13" s="3">
        <f>IF(NOT(ISNUMBER($A13)),"",2*(E13*Geometry!$B$18+F13*Geometry!$B$19+G13*Geometry!$B$20))</f>
        <v>11102.02719695196</v>
      </c>
      <c r="I13" s="3">
        <f>IF(NOT(ISNUMBER($A13)),"",2*(E13*Geometry!$B$21+F13*Geometry!$B$22+G13*Geometry!$B$23))</f>
        <v>69231.525005164891</v>
      </c>
      <c r="J13" s="3">
        <f>IF(NOT(ISNUMBER($A13)),"",Geometry!$B$24^2-(E13^2+F13^2+G13^2)-(Geometry!$B$18^2+Geometry!$B$19^2+Geometry!$B$20^2))</f>
        <v>-13084.078803048025</v>
      </c>
      <c r="K13" s="3">
        <f t="shared" si="0"/>
        <v>70116.0399796126</v>
      </c>
      <c r="L13" s="3">
        <f t="shared" si="1"/>
        <v>-0.18660607197514917</v>
      </c>
      <c r="M13" s="3">
        <f t="shared" si="2"/>
        <v>1.4117892275183559</v>
      </c>
      <c r="N13" s="3">
        <f t="shared" si="3"/>
        <v>1.758502723428744</v>
      </c>
      <c r="O13" s="3">
        <f>IF(M13="","",MOD(M13+Geometry!$B$47*N13+PI(),2*PI())-PI())</f>
        <v>-0.34671349591038814</v>
      </c>
      <c r="P13" s="3" t="b">
        <f t="shared" si="4"/>
        <v>1</v>
      </c>
      <c r="Q13" s="3">
        <f>IF(P13=FALSE,"",IF((Geometry!$B$28*COS(O13)+Geometry!$B$32*SIN(O13)+Geometry!$B$8*Geometry!$B$30*(1-COS(O13)))&gt;=0,1,-1)*ACOS(MAX(-1,MIN(1,(Geometry!$B$27*COS(O13)+Geometry!$B$31*SIN(O13)+Geometry!$B$7*Geometry!$B$30*(1-COS(O13)))/SQRT((Geometry!$B$27*COS(O13)+Geometry!$B$31*SIN(O13)+Geometry!$B$7*Geometry!$B$30*(1-COS(O13)))^2+(Geometry!$B$28*COS(O13)+Geometry!$B$32*SIN(O13)+Geometry!$B$8*Geometry!$B$30*(1-COS(O13)))^2))))*180/PI())</f>
        <v>-19.48070892192699</v>
      </c>
      <c r="R13" s="3">
        <f>IF(NOT(ISNUMBER($A13)),"",Inputs!$B$21+$A13*Inputs!$E$6/SQRT(Inputs!$E$6^2+Inputs!$E$7^2+Inputs!$E$8^2))</f>
        <v>919.87300000000005</v>
      </c>
      <c r="S13" s="3">
        <f>IF(NOT(ISNUMBER($A13)),"",Inputs!$C$21+$A13*Inputs!$E$7/SQRT(Inputs!$E$6^2+Inputs!$E$7^2+Inputs!$E$8^2))</f>
        <v>-306.45400000000001</v>
      </c>
      <c r="T13" s="3">
        <f>IF(NOT(ISNUMBER($A13)),"",Inputs!$D$21+$A13*Inputs!$E$8/SQRT(Inputs!$E$6^2+Inputs!$E$7^2+Inputs!$E$8^2))</f>
        <v>182.18899999999999</v>
      </c>
      <c r="U13" s="3">
        <f>IF(NOT(ISNUMBER($A13)),"",Inputs!$B$19+Geometry!$C$15-R13)</f>
        <v>-24.932661268328502</v>
      </c>
      <c r="V13" s="3">
        <f>IF(NOT(ISNUMBER($A13)),"",Inputs!$C$19+Geometry!$C$16-S13)</f>
        <v>-134.76798447238372</v>
      </c>
      <c r="W13" s="3">
        <f>IF(NOT(ISNUMBER($A13)),"",Inputs!$D$19+Geometry!$C$17-T13)</f>
        <v>11.015351937228701</v>
      </c>
      <c r="X13" s="3">
        <f>IF(NOT(ISNUMBER($A13)),"",2*(U13*Geometry!$C$18+V13*Geometry!$C$19+W13*Geometry!$C$20))</f>
        <v>3550.3401535391736</v>
      </c>
      <c r="Y13" s="3">
        <f>IF(NOT(ISNUMBER($A13)),"",2*(U13*Geometry!$C$21+V13*Geometry!$C$22+W13*Geometry!$C$23))</f>
        <v>-41156.253279744924</v>
      </c>
      <c r="Z13" s="3">
        <f>IF(NOT(ISNUMBER($A13)),"",Geometry!$C$24^2-(U13^2+V13^2+W13^2)-(Geometry!$C$18^2+Geometry!$C$19^2+Geometry!$C$20^2))</f>
        <v>22934.446153539182</v>
      </c>
      <c r="AA13" s="3">
        <f t="shared" si="5"/>
        <v>41309.104314089738</v>
      </c>
      <c r="AB13" s="3">
        <f t="shared" si="6"/>
        <v>0.55519107795606903</v>
      </c>
      <c r="AC13" s="3">
        <f t="shared" si="7"/>
        <v>-1.4847444583893279</v>
      </c>
      <c r="AD13" s="3">
        <f t="shared" si="8"/>
        <v>0.98220364073038535</v>
      </c>
      <c r="AE13" s="3">
        <f>IF(AC13="","",MOD(AC13+Geometry!$C$47*AD13+PI(),2*PI())-PI())</f>
        <v>-0.50254081765894254</v>
      </c>
      <c r="AF13" s="3" t="b">
        <f t="shared" si="9"/>
        <v>1</v>
      </c>
      <c r="AG13" s="3">
        <f>IF(AF13=FALSE,"",IF((Geometry!$C$28*COS(AE13)+Geometry!$C$32*SIN(AE13)+Geometry!$C$8*Geometry!$C$30*(1-COS(AE13)))&gt;=0,1,-1)*ACOS(MAX(-1,MIN(1,(Geometry!$C$27*COS(AE13)+Geometry!$C$31*SIN(AE13)+Geometry!$C$7*Geometry!$C$30*(1-COS(AE13)))/SQRT((Geometry!$C$27*COS(AE13)+Geometry!$C$31*SIN(AE13)+Geometry!$C$7*Geometry!$C$30*(1-COS(AE13)))^2+(Geometry!$C$28*COS(AE13)+Geometry!$C$32*SIN(AE13)+Geometry!$C$8*Geometry!$C$30*(1-COS(AE13)))^2))))*180/PI())</f>
        <v>-28.406334594182532</v>
      </c>
    </row>
    <row r="14" spans="1:33">
      <c r="A14" s="3">
        <f>IF(Inputs!$E$9+12*Inputs!$E$11&lt;=Inputs!$E$10,Inputs!$E$9+12*Inputs!$E$11,"")</f>
        <v>-48</v>
      </c>
      <c r="B14" s="3">
        <f>IF(NOT(ISNUMBER($A14)),"",Inputs!$B$17+$A14*Inputs!$E$6/SQRT(Inputs!$E$6^2+Inputs!$E$7^2+Inputs!$E$8^2))</f>
        <v>919.87300000000005</v>
      </c>
      <c r="C14" s="3">
        <f>IF(NOT(ISNUMBER($A14)),"",Inputs!$C$17+$A14*Inputs!$E$7/SQRT(Inputs!$E$6^2+Inputs!$E$7^2+Inputs!$E$8^2))</f>
        <v>209.45400000000001</v>
      </c>
      <c r="D14" s="3">
        <f>IF(NOT(ISNUMBER($A14)),"",Inputs!$D$17+$A14*Inputs!$E$8/SQRT(Inputs!$E$6^2+Inputs!$E$7^2+Inputs!$E$8^2))</f>
        <v>182.18899999999999</v>
      </c>
      <c r="E14" s="3">
        <f>IF(NOT(ISNUMBER($A14)),"",Inputs!$B$15+Geometry!$B$15-B14)</f>
        <v>-24.932661268328502</v>
      </c>
      <c r="F14" s="3">
        <f>IF(NOT(ISNUMBER($A14)),"",Inputs!$C$15+Geometry!$B$16-C14)</f>
        <v>231.76798447238372</v>
      </c>
      <c r="G14" s="3">
        <f>IF(NOT(ISNUMBER($A14)),"",Inputs!$D$15+Geometry!$B$17-D14)</f>
        <v>11.015351937228701</v>
      </c>
      <c r="H14" s="3">
        <f>IF(NOT(ISNUMBER($A14)),"",2*(E14*Geometry!$B$18+F14*Geometry!$B$19+G14*Geometry!$B$20))</f>
        <v>11024.969165896728</v>
      </c>
      <c r="I14" s="3">
        <f>IF(NOT(ISNUMBER($A14)),"",2*(E14*Geometry!$B$21+F14*Geometry!$B$22+G14*Geometry!$B$23))</f>
        <v>68945.042640619795</v>
      </c>
      <c r="J14" s="3">
        <f>IF(NOT(ISNUMBER($A14)),"",Geometry!$B$24^2-(E14^2+F14^2+G14^2)-(Geometry!$B$18^2+Geometry!$B$19^2+Geometry!$B$20^2))</f>
        <v>-12619.54283410326</v>
      </c>
      <c r="K14" s="3">
        <f t="shared" si="0"/>
        <v>69820.977147458019</v>
      </c>
      <c r="L14" s="3">
        <f t="shared" si="1"/>
        <v>-0.18074142399141002</v>
      </c>
      <c r="M14" s="3">
        <f t="shared" si="2"/>
        <v>1.4122292804404244</v>
      </c>
      <c r="N14" s="3">
        <f t="shared" si="3"/>
        <v>1.7525365651391192</v>
      </c>
      <c r="O14" s="3">
        <f>IF(M14="","",MOD(M14+Geometry!$B$47*N14+PI(),2*PI())-PI())</f>
        <v>-0.34030728469869498</v>
      </c>
      <c r="P14" s="3" t="b">
        <f t="shared" si="4"/>
        <v>1</v>
      </c>
      <c r="Q14" s="3">
        <f>IF(P14=FALSE,"",IF((Geometry!$B$28*COS(O14)+Geometry!$B$32*SIN(O14)+Geometry!$B$8*Geometry!$B$30*(1-COS(O14)))&gt;=0,1,-1)*ACOS(MAX(-1,MIN(1,(Geometry!$B$27*COS(O14)+Geometry!$B$31*SIN(O14)+Geometry!$B$7*Geometry!$B$30*(1-COS(O14)))/SQRT((Geometry!$B$27*COS(O14)+Geometry!$B$31*SIN(O14)+Geometry!$B$7*Geometry!$B$30*(1-COS(O14)))^2+(Geometry!$B$28*COS(O14)+Geometry!$B$32*SIN(O14)+Geometry!$B$8*Geometry!$B$30*(1-COS(O14)))^2))))*180/PI())</f>
        <v>-19.120605840832141</v>
      </c>
      <c r="R14" s="3">
        <f>IF(NOT(ISNUMBER($A14)),"",Inputs!$B$21+$A14*Inputs!$E$6/SQRT(Inputs!$E$6^2+Inputs!$E$7^2+Inputs!$E$8^2))</f>
        <v>919.87300000000005</v>
      </c>
      <c r="S14" s="3">
        <f>IF(NOT(ISNUMBER($A14)),"",Inputs!$C$21+$A14*Inputs!$E$7/SQRT(Inputs!$E$6^2+Inputs!$E$7^2+Inputs!$E$8^2))</f>
        <v>-305.45400000000001</v>
      </c>
      <c r="T14" s="3">
        <f>IF(NOT(ISNUMBER($A14)),"",Inputs!$D$21+$A14*Inputs!$E$8/SQRT(Inputs!$E$6^2+Inputs!$E$7^2+Inputs!$E$8^2))</f>
        <v>182.18899999999999</v>
      </c>
      <c r="U14" s="3">
        <f>IF(NOT(ISNUMBER($A14)),"",Inputs!$B$19+Geometry!$C$15-R14)</f>
        <v>-24.932661268328502</v>
      </c>
      <c r="V14" s="3">
        <f>IF(NOT(ISNUMBER($A14)),"",Inputs!$C$19+Geometry!$C$16-S14)</f>
        <v>-135.76798447238372</v>
      </c>
      <c r="W14" s="3">
        <f>IF(NOT(ISNUMBER($A14)),"",Inputs!$D$19+Geometry!$C$17-T14)</f>
        <v>11.015351937228701</v>
      </c>
      <c r="X14" s="3">
        <f>IF(NOT(ISNUMBER($A14)),"",2*(U14*Geometry!$C$18+V14*Geometry!$C$19+W14*Geometry!$C$20))</f>
        <v>3627.3981845944058</v>
      </c>
      <c r="Y14" s="3">
        <f>IF(NOT(ISNUMBER($A14)),"",2*(U14*Geometry!$C$21+V14*Geometry!$C$22+W14*Geometry!$C$23))</f>
        <v>-41442.73564429002</v>
      </c>
      <c r="Z14" s="3">
        <f>IF(NOT(ISNUMBER($A14)),"",Geometry!$C$24^2-(U14^2+V14^2+W14^2)-(Geometry!$C$18^2+Geometry!$C$19^2+Geometry!$C$20^2))</f>
        <v>22663.91018459441</v>
      </c>
      <c r="AA14" s="3">
        <f t="shared" si="5"/>
        <v>41601.182137916534</v>
      </c>
      <c r="AB14" s="3">
        <f t="shared" si="6"/>
        <v>0.54479005210618425</v>
      </c>
      <c r="AC14" s="3">
        <f t="shared" si="7"/>
        <v>-1.4834908645152514</v>
      </c>
      <c r="AD14" s="3">
        <f t="shared" si="8"/>
        <v>0.99465759587021252</v>
      </c>
      <c r="AE14" s="3">
        <f>IF(AC14="","",MOD(AC14+Geometry!$C$47*AD14+PI(),2*PI())-PI())</f>
        <v>-0.48883326864503873</v>
      </c>
      <c r="AF14" s="3" t="b">
        <f t="shared" si="9"/>
        <v>1</v>
      </c>
      <c r="AG14" s="3">
        <f>IF(AF14=FALSE,"",IF((Geometry!$C$28*COS(AE14)+Geometry!$C$32*SIN(AE14)+Geometry!$C$8*Geometry!$C$30*(1-COS(AE14)))&gt;=0,1,-1)*ACOS(MAX(-1,MIN(1,(Geometry!$C$27*COS(AE14)+Geometry!$C$31*SIN(AE14)+Geometry!$C$7*Geometry!$C$30*(1-COS(AE14)))/SQRT((Geometry!$C$27*COS(AE14)+Geometry!$C$31*SIN(AE14)+Geometry!$C$7*Geometry!$C$30*(1-COS(AE14)))^2+(Geometry!$C$28*COS(AE14)+Geometry!$C$32*SIN(AE14)+Geometry!$C$8*Geometry!$C$30*(1-COS(AE14)))^2))))*180/PI())</f>
        <v>-27.626701653465311</v>
      </c>
    </row>
    <row r="15" spans="1:33">
      <c r="A15" s="3">
        <f>IF(Inputs!$E$9+13*Inputs!$E$11&lt;=Inputs!$E$10,Inputs!$E$9+13*Inputs!$E$11,"")</f>
        <v>-47</v>
      </c>
      <c r="B15" s="3">
        <f>IF(NOT(ISNUMBER($A15)),"",Inputs!$B$17+$A15*Inputs!$E$6/SQRT(Inputs!$E$6^2+Inputs!$E$7^2+Inputs!$E$8^2))</f>
        <v>919.87300000000005</v>
      </c>
      <c r="C15" s="3">
        <f>IF(NOT(ISNUMBER($A15)),"",Inputs!$C$17+$A15*Inputs!$E$7/SQRT(Inputs!$E$6^2+Inputs!$E$7^2+Inputs!$E$8^2))</f>
        <v>210.45400000000001</v>
      </c>
      <c r="D15" s="3">
        <f>IF(NOT(ISNUMBER($A15)),"",Inputs!$D$17+$A15*Inputs!$E$8/SQRT(Inputs!$E$6^2+Inputs!$E$7^2+Inputs!$E$8^2))</f>
        <v>182.18899999999999</v>
      </c>
      <c r="E15" s="3">
        <f>IF(NOT(ISNUMBER($A15)),"",Inputs!$B$15+Geometry!$B$15-B15)</f>
        <v>-24.932661268328502</v>
      </c>
      <c r="F15" s="3">
        <f>IF(NOT(ISNUMBER($A15)),"",Inputs!$C$15+Geometry!$B$16-C15)</f>
        <v>230.76798447238372</v>
      </c>
      <c r="G15" s="3">
        <f>IF(NOT(ISNUMBER($A15)),"",Inputs!$D$15+Geometry!$B$17-D15)</f>
        <v>11.015351937228701</v>
      </c>
      <c r="H15" s="3">
        <f>IF(NOT(ISNUMBER($A15)),"",2*(E15*Geometry!$B$18+F15*Geometry!$B$19+G15*Geometry!$B$20))</f>
        <v>10947.911134841495</v>
      </c>
      <c r="I15" s="3">
        <f>IF(NOT(ISNUMBER($A15)),"",2*(E15*Geometry!$B$21+F15*Geometry!$B$22+G15*Geometry!$B$23))</f>
        <v>68658.560276074684</v>
      </c>
      <c r="J15" s="3">
        <f>IF(NOT(ISNUMBER($A15)),"",Geometry!$B$24^2-(E15^2+F15^2+G15^2)-(Geometry!$B$18^2+Geometry!$B$19^2+Geometry!$B$20^2))</f>
        <v>-12157.006865158495</v>
      </c>
      <c r="K15" s="3">
        <f t="shared" si="0"/>
        <v>69525.927950655707</v>
      </c>
      <c r="L15" s="3">
        <f t="shared" si="1"/>
        <v>-0.17485572970398364</v>
      </c>
      <c r="M15" s="3">
        <f t="shared" si="2"/>
        <v>1.4126730683797351</v>
      </c>
      <c r="N15" s="3">
        <f t="shared" si="3"/>
        <v>1.7465555653595151</v>
      </c>
      <c r="O15" s="3">
        <f>IF(M15="","",MOD(M15+Geometry!$B$47*N15+PI(),2*PI())-PI())</f>
        <v>-0.33388249697978001</v>
      </c>
      <c r="P15" s="3" t="b">
        <f t="shared" si="4"/>
        <v>1</v>
      </c>
      <c r="Q15" s="3">
        <f>IF(P15=FALSE,"",IF((Geometry!$B$28*COS(O15)+Geometry!$B$32*SIN(O15)+Geometry!$B$8*Geometry!$B$30*(1-COS(O15)))&gt;=0,1,-1)*ACOS(MAX(-1,MIN(1,(Geometry!$B$27*COS(O15)+Geometry!$B$31*SIN(O15)+Geometry!$B$7*Geometry!$B$30*(1-COS(O15)))/SQRT((Geometry!$B$27*COS(O15)+Geometry!$B$31*SIN(O15)+Geometry!$B$7*Geometry!$B$30*(1-COS(O15)))^2+(Geometry!$B$28*COS(O15)+Geometry!$B$32*SIN(O15)+Geometry!$B$8*Geometry!$B$30*(1-COS(O15)))^2))))*180/PI())</f>
        <v>-18.759483148664756</v>
      </c>
      <c r="R15" s="3">
        <f>IF(NOT(ISNUMBER($A15)),"",Inputs!$B$21+$A15*Inputs!$E$6/SQRT(Inputs!$E$6^2+Inputs!$E$7^2+Inputs!$E$8^2))</f>
        <v>919.87300000000005</v>
      </c>
      <c r="S15" s="3">
        <f>IF(NOT(ISNUMBER($A15)),"",Inputs!$C$21+$A15*Inputs!$E$7/SQRT(Inputs!$E$6^2+Inputs!$E$7^2+Inputs!$E$8^2))</f>
        <v>-304.45400000000001</v>
      </c>
      <c r="T15" s="3">
        <f>IF(NOT(ISNUMBER($A15)),"",Inputs!$D$21+$A15*Inputs!$E$8/SQRT(Inputs!$E$6^2+Inputs!$E$7^2+Inputs!$E$8^2))</f>
        <v>182.18899999999999</v>
      </c>
      <c r="U15" s="3">
        <f>IF(NOT(ISNUMBER($A15)),"",Inputs!$B$19+Geometry!$C$15-R15)</f>
        <v>-24.932661268328502</v>
      </c>
      <c r="V15" s="3">
        <f>IF(NOT(ISNUMBER($A15)),"",Inputs!$C$19+Geometry!$C$16-S15)</f>
        <v>-136.76798447238372</v>
      </c>
      <c r="W15" s="3">
        <f>IF(NOT(ISNUMBER($A15)),"",Inputs!$D$19+Geometry!$C$17-T15)</f>
        <v>11.015351937228701</v>
      </c>
      <c r="X15" s="3">
        <f>IF(NOT(ISNUMBER($A15)),"",2*(U15*Geometry!$C$18+V15*Geometry!$C$19+W15*Geometry!$C$20))</f>
        <v>3704.4562156496381</v>
      </c>
      <c r="Y15" s="3">
        <f>IF(NOT(ISNUMBER($A15)),"",2*(U15*Geometry!$C$21+V15*Geometry!$C$22+W15*Geometry!$C$23))</f>
        <v>-41729.218008835123</v>
      </c>
      <c r="Z15" s="3">
        <f>IF(NOT(ISNUMBER($A15)),"",Geometry!$C$24^2-(U15^2+V15^2+W15^2)-(Geometry!$C$18^2+Geometry!$C$19^2+Geometry!$C$20^2))</f>
        <v>22391.374215649645</v>
      </c>
      <c r="AA15" s="3">
        <f t="shared" si="5"/>
        <v>41893.324426244275</v>
      </c>
      <c r="AB15" s="3">
        <f t="shared" si="6"/>
        <v>0.53448549434340098</v>
      </c>
      <c r="AC15" s="3">
        <f t="shared" si="7"/>
        <v>-1.4822547525464518</v>
      </c>
      <c r="AD15" s="3">
        <f t="shared" si="8"/>
        <v>1.0068974513732369</v>
      </c>
      <c r="AE15" s="3">
        <f>IF(AC15="","",MOD(AC15+Geometry!$C$47*AD15+PI(),2*PI())-PI())</f>
        <v>-0.47535730117321506</v>
      </c>
      <c r="AF15" s="3" t="b">
        <f t="shared" si="9"/>
        <v>1</v>
      </c>
      <c r="AG15" s="3">
        <f>IF(AF15=FALSE,"",IF((Geometry!$C$28*COS(AE15)+Geometry!$C$32*SIN(AE15)+Geometry!$C$8*Geometry!$C$30*(1-COS(AE15)))&gt;=0,1,-1)*ACOS(MAX(-1,MIN(1,(Geometry!$C$27*COS(AE15)+Geometry!$C$31*SIN(AE15)+Geometry!$C$7*Geometry!$C$30*(1-COS(AE15)))/SQRT((Geometry!$C$27*COS(AE15)+Geometry!$C$31*SIN(AE15)+Geometry!$C$7*Geometry!$C$30*(1-COS(AE15)))^2+(Geometry!$C$28*COS(AE15)+Geometry!$C$32*SIN(AE15)+Geometry!$C$8*Geometry!$C$30*(1-COS(AE15)))^2))))*180/PI())</f>
        <v>-26.860530242589384</v>
      </c>
    </row>
    <row r="16" spans="1:33">
      <c r="A16" s="3">
        <f>IF(Inputs!$E$9+14*Inputs!$E$11&lt;=Inputs!$E$10,Inputs!$E$9+14*Inputs!$E$11,"")</f>
        <v>-46</v>
      </c>
      <c r="B16" s="3">
        <f>IF(NOT(ISNUMBER($A16)),"",Inputs!$B$17+$A16*Inputs!$E$6/SQRT(Inputs!$E$6^2+Inputs!$E$7^2+Inputs!$E$8^2))</f>
        <v>919.87300000000005</v>
      </c>
      <c r="C16" s="3">
        <f>IF(NOT(ISNUMBER($A16)),"",Inputs!$C$17+$A16*Inputs!$E$7/SQRT(Inputs!$E$6^2+Inputs!$E$7^2+Inputs!$E$8^2))</f>
        <v>211.45400000000001</v>
      </c>
      <c r="D16" s="3">
        <f>IF(NOT(ISNUMBER($A16)),"",Inputs!$D$17+$A16*Inputs!$E$8/SQRT(Inputs!$E$6^2+Inputs!$E$7^2+Inputs!$E$8^2))</f>
        <v>182.18899999999999</v>
      </c>
      <c r="E16" s="3">
        <f>IF(NOT(ISNUMBER($A16)),"",Inputs!$B$15+Geometry!$B$15-B16)</f>
        <v>-24.932661268328502</v>
      </c>
      <c r="F16" s="3">
        <f>IF(NOT(ISNUMBER($A16)),"",Inputs!$C$15+Geometry!$B$16-C16)</f>
        <v>229.76798447238372</v>
      </c>
      <c r="G16" s="3">
        <f>IF(NOT(ISNUMBER($A16)),"",Inputs!$D$15+Geometry!$B$17-D16)</f>
        <v>11.015351937228701</v>
      </c>
      <c r="H16" s="3">
        <f>IF(NOT(ISNUMBER($A16)),"",2*(E16*Geometry!$B$18+F16*Geometry!$B$19+G16*Geometry!$B$20))</f>
        <v>10870.853103786263</v>
      </c>
      <c r="I16" s="3">
        <f>IF(NOT(ISNUMBER($A16)),"",2*(E16*Geometry!$B$21+F16*Geometry!$B$22+G16*Geometry!$B$23))</f>
        <v>68372.077911529588</v>
      </c>
      <c r="J16" s="3">
        <f>IF(NOT(ISNUMBER($A16)),"",Geometry!$B$24^2-(E16^2+F16^2+G16^2)-(Geometry!$B$18^2+Geometry!$B$19^2+Geometry!$B$20^2))</f>
        <v>-11696.470896213723</v>
      </c>
      <c r="K16" s="3">
        <f t="shared" si="0"/>
        <v>69230.892563539674</v>
      </c>
      <c r="L16" s="3">
        <f t="shared" si="1"/>
        <v>-0.16894872307877262</v>
      </c>
      <c r="M16" s="3">
        <f t="shared" si="2"/>
        <v>1.4131206389142026</v>
      </c>
      <c r="N16" s="3">
        <f t="shared" si="3"/>
        <v>1.7405592885965382</v>
      </c>
      <c r="O16" s="3">
        <f>IF(M16="","",MOD(M16+Geometry!$B$47*N16+PI(),2*PI())-PI())</f>
        <v>-0.32743864968233538</v>
      </c>
      <c r="P16" s="3" t="b">
        <f t="shared" si="4"/>
        <v>1</v>
      </c>
      <c r="Q16" s="3">
        <f>IF(P16=FALSE,"",IF((Geometry!$B$28*COS(O16)+Geometry!$B$32*SIN(O16)+Geometry!$B$8*Geometry!$B$30*(1-COS(O16)))&gt;=0,1,-1)*ACOS(MAX(-1,MIN(1,(Geometry!$B$27*COS(O16)+Geometry!$B$31*SIN(O16)+Geometry!$B$7*Geometry!$B$30*(1-COS(O16)))/SQRT((Geometry!$B$27*COS(O16)+Geometry!$B$31*SIN(O16)+Geometry!$B$7*Geometry!$B$30*(1-COS(O16)))^2+(Geometry!$B$28*COS(O16)+Geometry!$B$32*SIN(O16)+Geometry!$B$8*Geometry!$B$30*(1-COS(O16)))^2))))*180/PI())</f>
        <v>-18.397312803704775</v>
      </c>
      <c r="R16" s="3">
        <f>IF(NOT(ISNUMBER($A16)),"",Inputs!$B$21+$A16*Inputs!$E$6/SQRT(Inputs!$E$6^2+Inputs!$E$7^2+Inputs!$E$8^2))</f>
        <v>919.87300000000005</v>
      </c>
      <c r="S16" s="3">
        <f>IF(NOT(ISNUMBER($A16)),"",Inputs!$C$21+$A16*Inputs!$E$7/SQRT(Inputs!$E$6^2+Inputs!$E$7^2+Inputs!$E$8^2))</f>
        <v>-303.45400000000001</v>
      </c>
      <c r="T16" s="3">
        <f>IF(NOT(ISNUMBER($A16)),"",Inputs!$D$21+$A16*Inputs!$E$8/SQRT(Inputs!$E$6^2+Inputs!$E$7^2+Inputs!$E$8^2))</f>
        <v>182.18899999999999</v>
      </c>
      <c r="U16" s="3">
        <f>IF(NOT(ISNUMBER($A16)),"",Inputs!$B$19+Geometry!$C$15-R16)</f>
        <v>-24.932661268328502</v>
      </c>
      <c r="V16" s="3">
        <f>IF(NOT(ISNUMBER($A16)),"",Inputs!$C$19+Geometry!$C$16-S16)</f>
        <v>-137.76798447238372</v>
      </c>
      <c r="W16" s="3">
        <f>IF(NOT(ISNUMBER($A16)),"",Inputs!$D$19+Geometry!$C$17-T16)</f>
        <v>11.015351937228701</v>
      </c>
      <c r="X16" s="3">
        <f>IF(NOT(ISNUMBER($A16)),"",2*(U16*Geometry!$C$18+V16*Geometry!$C$19+W16*Geometry!$C$20))</f>
        <v>3781.5142467048722</v>
      </c>
      <c r="Y16" s="3">
        <f>IF(NOT(ISNUMBER($A16)),"",2*(U16*Geometry!$C$21+V16*Geometry!$C$22+W16*Geometry!$C$23))</f>
        <v>-42015.700373380227</v>
      </c>
      <c r="Z16" s="3">
        <f>IF(NOT(ISNUMBER($A16)),"",Geometry!$C$24^2-(U16^2+V16^2+W16^2)-(Geometry!$C$18^2+Geometry!$C$19^2+Geometry!$C$20^2))</f>
        <v>22116.83824670488</v>
      </c>
      <c r="AA16" s="3">
        <f t="shared" si="5"/>
        <v>42185.529839788607</v>
      </c>
      <c r="AB16" s="3">
        <f t="shared" si="6"/>
        <v>0.52427546437604988</v>
      </c>
      <c r="AC16" s="3">
        <f t="shared" si="7"/>
        <v>-1.4810357630258295</v>
      </c>
      <c r="AD16" s="3">
        <f t="shared" si="8"/>
        <v>1.0189322813558355</v>
      </c>
      <c r="AE16" s="3">
        <f>IF(AC16="","",MOD(AC16+Geometry!$C$47*AD16+PI(),2*PI())-PI())</f>
        <v>-0.46210348166999404</v>
      </c>
      <c r="AF16" s="3" t="b">
        <f t="shared" si="9"/>
        <v>1</v>
      </c>
      <c r="AG16" s="3">
        <f>IF(AF16=FALSE,"",IF((Geometry!$C$28*COS(AE16)+Geometry!$C$32*SIN(AE16)+Geometry!$C$8*Geometry!$C$30*(1-COS(AE16)))&gt;=0,1,-1)*ACOS(MAX(-1,MIN(1,(Geometry!$C$27*COS(AE16)+Geometry!$C$31*SIN(AE16)+Geometry!$C$7*Geometry!$C$30*(1-COS(AE16)))/SQRT((Geometry!$C$27*COS(AE16)+Geometry!$C$31*SIN(AE16)+Geometry!$C$7*Geometry!$C$30*(1-COS(AE16)))^2+(Geometry!$C$28*COS(AE16)+Geometry!$C$32*SIN(AE16)+Geometry!$C$8*Geometry!$C$30*(1-COS(AE16)))^2))))*180/PI())</f>
        <v>-26.107269324257402</v>
      </c>
    </row>
    <row r="17" spans="1:33">
      <c r="A17" s="3">
        <f>IF(Inputs!$E$9+15*Inputs!$E$11&lt;=Inputs!$E$10,Inputs!$E$9+15*Inputs!$E$11,"")</f>
        <v>-45</v>
      </c>
      <c r="B17" s="3">
        <f>IF(NOT(ISNUMBER($A17)),"",Inputs!$B$17+$A17*Inputs!$E$6/SQRT(Inputs!$E$6^2+Inputs!$E$7^2+Inputs!$E$8^2))</f>
        <v>919.87300000000005</v>
      </c>
      <c r="C17" s="3">
        <f>IF(NOT(ISNUMBER($A17)),"",Inputs!$C$17+$A17*Inputs!$E$7/SQRT(Inputs!$E$6^2+Inputs!$E$7^2+Inputs!$E$8^2))</f>
        <v>212.45400000000001</v>
      </c>
      <c r="D17" s="3">
        <f>IF(NOT(ISNUMBER($A17)),"",Inputs!$D$17+$A17*Inputs!$E$8/SQRT(Inputs!$E$6^2+Inputs!$E$7^2+Inputs!$E$8^2))</f>
        <v>182.18899999999999</v>
      </c>
      <c r="E17" s="3">
        <f>IF(NOT(ISNUMBER($A17)),"",Inputs!$B$15+Geometry!$B$15-B17)</f>
        <v>-24.932661268328502</v>
      </c>
      <c r="F17" s="3">
        <f>IF(NOT(ISNUMBER($A17)),"",Inputs!$C$15+Geometry!$B$16-C17)</f>
        <v>228.76798447238372</v>
      </c>
      <c r="G17" s="3">
        <f>IF(NOT(ISNUMBER($A17)),"",Inputs!$D$15+Geometry!$B$17-D17)</f>
        <v>11.015351937228701</v>
      </c>
      <c r="H17" s="3">
        <f>IF(NOT(ISNUMBER($A17)),"",2*(E17*Geometry!$B$18+F17*Geometry!$B$19+G17*Geometry!$B$20))</f>
        <v>10793.795072731027</v>
      </c>
      <c r="I17" s="3">
        <f>IF(NOT(ISNUMBER($A17)),"",2*(E17*Geometry!$B$21+F17*Geometry!$B$22+G17*Geometry!$B$23))</f>
        <v>68085.595546984492</v>
      </c>
      <c r="J17" s="3">
        <f>IF(NOT(ISNUMBER($A17)),"",Geometry!$B$24^2-(E17^2+F17^2+G17^2)-(Geometry!$B$18^2+Geometry!$B$19^2+Geometry!$B$20^2))</f>
        <v>-11237.934927268958</v>
      </c>
      <c r="K17" s="3">
        <f t="shared" si="0"/>
        <v>68935.87116342019</v>
      </c>
      <c r="L17" s="3">
        <f t="shared" si="1"/>
        <v>-0.16302013360545162</v>
      </c>
      <c r="M17" s="3">
        <f t="shared" si="2"/>
        <v>1.4135720404302048</v>
      </c>
      <c r="N17" s="3">
        <f t="shared" si="3"/>
        <v>1.7345472932839643</v>
      </c>
      <c r="O17" s="3">
        <f>IF(M17="","",MOD(M17+Geometry!$B$47*N17+PI(),2*PI())-PI())</f>
        <v>-0.3209752528537595</v>
      </c>
      <c r="P17" s="3" t="b">
        <f t="shared" si="4"/>
        <v>1</v>
      </c>
      <c r="Q17" s="3">
        <f>IF(P17=FALSE,"",IF((Geometry!$B$28*COS(O17)+Geometry!$B$32*SIN(O17)+Geometry!$B$8*Geometry!$B$30*(1-COS(O17)))&gt;=0,1,-1)*ACOS(MAX(-1,MIN(1,(Geometry!$B$27*COS(O17)+Geometry!$B$31*SIN(O17)+Geometry!$B$7*Geometry!$B$30*(1-COS(O17)))/SQRT((Geometry!$B$27*COS(O17)+Geometry!$B$31*SIN(O17)+Geometry!$B$7*Geometry!$B$30*(1-COS(O17)))^2+(Geometry!$B$28*COS(O17)+Geometry!$B$32*SIN(O17)+Geometry!$B$8*Geometry!$B$30*(1-COS(O17)))^2))))*180/PI())</f>
        <v>-18.034066366036509</v>
      </c>
      <c r="R17" s="3">
        <f>IF(NOT(ISNUMBER($A17)),"",Inputs!$B$21+$A17*Inputs!$E$6/SQRT(Inputs!$E$6^2+Inputs!$E$7^2+Inputs!$E$8^2))</f>
        <v>919.87300000000005</v>
      </c>
      <c r="S17" s="3">
        <f>IF(NOT(ISNUMBER($A17)),"",Inputs!$C$21+$A17*Inputs!$E$7/SQRT(Inputs!$E$6^2+Inputs!$E$7^2+Inputs!$E$8^2))</f>
        <v>-302.45400000000001</v>
      </c>
      <c r="T17" s="3">
        <f>IF(NOT(ISNUMBER($A17)),"",Inputs!$D$21+$A17*Inputs!$E$8/SQRT(Inputs!$E$6^2+Inputs!$E$7^2+Inputs!$E$8^2))</f>
        <v>182.18899999999999</v>
      </c>
      <c r="U17" s="3">
        <f>IF(NOT(ISNUMBER($A17)),"",Inputs!$B$19+Geometry!$C$15-R17)</f>
        <v>-24.932661268328502</v>
      </c>
      <c r="V17" s="3">
        <f>IF(NOT(ISNUMBER($A17)),"",Inputs!$C$19+Geometry!$C$16-S17)</f>
        <v>-138.76798447238372</v>
      </c>
      <c r="W17" s="3">
        <f>IF(NOT(ISNUMBER($A17)),"",Inputs!$D$19+Geometry!$C$17-T17)</f>
        <v>11.015351937228701</v>
      </c>
      <c r="X17" s="3">
        <f>IF(NOT(ISNUMBER($A17)),"",2*(U17*Geometry!$C$18+V17*Geometry!$C$19+W17*Geometry!$C$20))</f>
        <v>3858.5722777601045</v>
      </c>
      <c r="Y17" s="3">
        <f>IF(NOT(ISNUMBER($A17)),"",2*(U17*Geometry!$C$21+V17*Geometry!$C$22+W17*Geometry!$C$23))</f>
        <v>-42302.18273792533</v>
      </c>
      <c r="Z17" s="3">
        <f>IF(NOT(ISNUMBER($A17)),"",Geometry!$C$24^2-(U17^2+V17^2+W17^2)-(Geometry!$C$18^2+Geometry!$C$19^2+Geometry!$C$20^2))</f>
        <v>21840.302277760115</v>
      </c>
      <c r="AA17" s="3">
        <f t="shared" si="5"/>
        <v>42477.797075831586</v>
      </c>
      <c r="AB17" s="3">
        <f t="shared" si="6"/>
        <v>0.51415807271668756</v>
      </c>
      <c r="AC17" s="3">
        <f t="shared" si="7"/>
        <v>-1.4798335461824557</v>
      </c>
      <c r="AD17" s="3">
        <f t="shared" si="8"/>
        <v>1.0307705823499174</v>
      </c>
      <c r="AE17" s="3">
        <f>IF(AC17="","",MOD(AC17+Geometry!$C$47*AD17+PI(),2*PI())-PI())</f>
        <v>-0.4490629638325383</v>
      </c>
      <c r="AF17" s="3" t="b">
        <f t="shared" si="9"/>
        <v>1</v>
      </c>
      <c r="AG17" s="3">
        <f>IF(AF17=FALSE,"",IF((Geometry!$C$28*COS(AE17)+Geometry!$C$32*SIN(AE17)+Geometry!$C$8*Geometry!$C$30*(1-COS(AE17)))&gt;=0,1,-1)*ACOS(MAX(-1,MIN(1,(Geometry!$C$27*COS(AE17)+Geometry!$C$31*SIN(AE17)+Geometry!$C$7*Geometry!$C$30*(1-COS(AE17)))/SQRT((Geometry!$C$27*COS(AE17)+Geometry!$C$31*SIN(AE17)+Geometry!$C$7*Geometry!$C$30*(1-COS(AE17)))^2+(Geometry!$C$28*COS(AE17)+Geometry!$C$32*SIN(AE17)+Geometry!$C$8*Geometry!$C$30*(1-COS(AE17)))^2))))*180/PI())</f>
        <v>-25.366402034157577</v>
      </c>
    </row>
    <row r="18" spans="1:33">
      <c r="A18" s="3">
        <f>IF(Inputs!$E$9+16*Inputs!$E$11&lt;=Inputs!$E$10,Inputs!$E$9+16*Inputs!$E$11,"")</f>
        <v>-44</v>
      </c>
      <c r="B18" s="3">
        <f>IF(NOT(ISNUMBER($A18)),"",Inputs!$B$17+$A18*Inputs!$E$6/SQRT(Inputs!$E$6^2+Inputs!$E$7^2+Inputs!$E$8^2))</f>
        <v>919.87300000000005</v>
      </c>
      <c r="C18" s="3">
        <f>IF(NOT(ISNUMBER($A18)),"",Inputs!$C$17+$A18*Inputs!$E$7/SQRT(Inputs!$E$6^2+Inputs!$E$7^2+Inputs!$E$8^2))</f>
        <v>213.45400000000001</v>
      </c>
      <c r="D18" s="3">
        <f>IF(NOT(ISNUMBER($A18)),"",Inputs!$D$17+$A18*Inputs!$E$8/SQRT(Inputs!$E$6^2+Inputs!$E$7^2+Inputs!$E$8^2))</f>
        <v>182.18899999999999</v>
      </c>
      <c r="E18" s="3">
        <f>IF(NOT(ISNUMBER($A18)),"",Inputs!$B$15+Geometry!$B$15-B18)</f>
        <v>-24.932661268328502</v>
      </c>
      <c r="F18" s="3">
        <f>IF(NOT(ISNUMBER($A18)),"",Inputs!$C$15+Geometry!$B$16-C18)</f>
        <v>227.76798447238372</v>
      </c>
      <c r="G18" s="3">
        <f>IF(NOT(ISNUMBER($A18)),"",Inputs!$D$15+Geometry!$B$17-D18)</f>
        <v>11.015351937228701</v>
      </c>
      <c r="H18" s="3">
        <f>IF(NOT(ISNUMBER($A18)),"",2*(E18*Geometry!$B$18+F18*Geometry!$B$19+G18*Geometry!$B$20))</f>
        <v>10716.737041675795</v>
      </c>
      <c r="I18" s="3">
        <f>IF(NOT(ISNUMBER($A18)),"",2*(E18*Geometry!$B$21+F18*Geometry!$B$22+G18*Geometry!$B$23))</f>
        <v>67799.113182439381</v>
      </c>
      <c r="J18" s="3">
        <f>IF(NOT(ISNUMBER($A18)),"",Geometry!$B$24^2-(E18^2+F18^2+G18^2)-(Geometry!$B$18^2+Geometry!$B$19^2+Geometry!$B$20^2))</f>
        <v>-10781.398958324193</v>
      </c>
      <c r="K18" s="3">
        <f t="shared" si="0"/>
        <v>68640.863930647407</v>
      </c>
      <c r="L18" s="3">
        <f t="shared" si="1"/>
        <v>-0.15706968620350384</v>
      </c>
      <c r="M18" s="3">
        <f t="shared" si="2"/>
        <v>1.4140273221397597</v>
      </c>
      <c r="N18" s="3">
        <f t="shared" si="3"/>
        <v>1.7285191315531763</v>
      </c>
      <c r="O18" s="3">
        <f>IF(M18="","",MOD(M18+Geometry!$B$47*N18+PI(),2*PI())-PI())</f>
        <v>-0.31449180941341659</v>
      </c>
      <c r="P18" s="3" t="b">
        <f t="shared" si="4"/>
        <v>1</v>
      </c>
      <c r="Q18" s="3">
        <f>IF(P18=FALSE,"",IF((Geometry!$B$28*COS(O18)+Geometry!$B$32*SIN(O18)+Geometry!$B$8*Geometry!$B$30*(1-COS(O18)))&gt;=0,1,-1)*ACOS(MAX(-1,MIN(1,(Geometry!$B$27*COS(O18)+Geometry!$B$31*SIN(O18)+Geometry!$B$7*Geometry!$B$30*(1-COS(O18)))/SQRT((Geometry!$B$27*COS(O18)+Geometry!$B$31*SIN(O18)+Geometry!$B$7*Geometry!$B$30*(1-COS(O18)))^2+(Geometry!$B$28*COS(O18)+Geometry!$B$32*SIN(O18)+Geometry!$B$8*Geometry!$B$30*(1-COS(O18)))^2))))*180/PI())</f>
        <v>-17.669714983043892</v>
      </c>
      <c r="R18" s="3">
        <f>IF(NOT(ISNUMBER($A18)),"",Inputs!$B$21+$A18*Inputs!$E$6/SQRT(Inputs!$E$6^2+Inputs!$E$7^2+Inputs!$E$8^2))</f>
        <v>919.87300000000005</v>
      </c>
      <c r="S18" s="3">
        <f>IF(NOT(ISNUMBER($A18)),"",Inputs!$C$21+$A18*Inputs!$E$7/SQRT(Inputs!$E$6^2+Inputs!$E$7^2+Inputs!$E$8^2))</f>
        <v>-301.45400000000001</v>
      </c>
      <c r="T18" s="3">
        <f>IF(NOT(ISNUMBER($A18)),"",Inputs!$D$21+$A18*Inputs!$E$8/SQRT(Inputs!$E$6^2+Inputs!$E$7^2+Inputs!$E$8^2))</f>
        <v>182.18899999999999</v>
      </c>
      <c r="U18" s="3">
        <f>IF(NOT(ISNUMBER($A18)),"",Inputs!$B$19+Geometry!$C$15-R18)</f>
        <v>-24.932661268328502</v>
      </c>
      <c r="V18" s="3">
        <f>IF(NOT(ISNUMBER($A18)),"",Inputs!$C$19+Geometry!$C$16-S18)</f>
        <v>-139.76798447238372</v>
      </c>
      <c r="W18" s="3">
        <f>IF(NOT(ISNUMBER($A18)),"",Inputs!$D$19+Geometry!$C$17-T18)</f>
        <v>11.015351937228701</v>
      </c>
      <c r="X18" s="3">
        <f>IF(NOT(ISNUMBER($A18)),"",2*(U18*Geometry!$C$18+V18*Geometry!$C$19+W18*Geometry!$C$20))</f>
        <v>3935.6303088153368</v>
      </c>
      <c r="Y18" s="3">
        <f>IF(NOT(ISNUMBER($A18)),"",2*(U18*Geometry!$C$21+V18*Geometry!$C$22+W18*Geometry!$C$23))</f>
        <v>-42588.665102470433</v>
      </c>
      <c r="Z18" s="3">
        <f>IF(NOT(ISNUMBER($A18)),"",Geometry!$C$24^2-(U18^2+V18^2+W18^2)-(Geometry!$C$18^2+Geometry!$C$19^2+Geometry!$C$20^2))</f>
        <v>21561.766308815342</v>
      </c>
      <c r="AA18" s="3">
        <f t="shared" si="5"/>
        <v>42770.124866991551</v>
      </c>
      <c r="AB18" s="3">
        <f t="shared" si="6"/>
        <v>0.50413147906088862</v>
      </c>
      <c r="AC18" s="3">
        <f t="shared" si="7"/>
        <v>-1.478647761610957</v>
      </c>
      <c r="AD18" s="3">
        <f t="shared" si="8"/>
        <v>1.0424203238268936</v>
      </c>
      <c r="AE18" s="3">
        <f>IF(AC18="","",MOD(AC18+Geometry!$C$47*AD18+PI(),2*PI())-PI())</f>
        <v>-0.43622743778406337</v>
      </c>
      <c r="AF18" s="3" t="b">
        <f t="shared" si="9"/>
        <v>1</v>
      </c>
      <c r="AG18" s="3">
        <f>IF(AF18=FALSE,"",IF((Geometry!$C$28*COS(AE18)+Geometry!$C$32*SIN(AE18)+Geometry!$C$8*Geometry!$C$30*(1-COS(AE18)))&gt;=0,1,-1)*ACOS(MAX(-1,MIN(1,(Geometry!$C$27*COS(AE18)+Geometry!$C$31*SIN(AE18)+Geometry!$C$7*Geometry!$C$30*(1-COS(AE18)))/SQRT((Geometry!$C$27*COS(AE18)+Geometry!$C$31*SIN(AE18)+Geometry!$C$7*Geometry!$C$30*(1-COS(AE18)))^2+(Geometry!$C$28*COS(AE18)+Geometry!$C$32*SIN(AE18)+Geometry!$C$8*Geometry!$C$30*(1-COS(AE18)))^2))))*180/PI())</f>
        <v>-24.637442736885497</v>
      </c>
    </row>
    <row r="19" spans="1:33">
      <c r="A19" s="3">
        <f>IF(Inputs!$E$9+17*Inputs!$E$11&lt;=Inputs!$E$10,Inputs!$E$9+17*Inputs!$E$11,"")</f>
        <v>-43</v>
      </c>
      <c r="B19" s="3">
        <f>IF(NOT(ISNUMBER($A19)),"",Inputs!$B$17+$A19*Inputs!$E$6/SQRT(Inputs!$E$6^2+Inputs!$E$7^2+Inputs!$E$8^2))</f>
        <v>919.87300000000005</v>
      </c>
      <c r="C19" s="3">
        <f>IF(NOT(ISNUMBER($A19)),"",Inputs!$C$17+$A19*Inputs!$E$7/SQRT(Inputs!$E$6^2+Inputs!$E$7^2+Inputs!$E$8^2))</f>
        <v>214.45400000000001</v>
      </c>
      <c r="D19" s="3">
        <f>IF(NOT(ISNUMBER($A19)),"",Inputs!$D$17+$A19*Inputs!$E$8/SQRT(Inputs!$E$6^2+Inputs!$E$7^2+Inputs!$E$8^2))</f>
        <v>182.18899999999999</v>
      </c>
      <c r="E19" s="3">
        <f>IF(NOT(ISNUMBER($A19)),"",Inputs!$B$15+Geometry!$B$15-B19)</f>
        <v>-24.932661268328502</v>
      </c>
      <c r="F19" s="3">
        <f>IF(NOT(ISNUMBER($A19)),"",Inputs!$C$15+Geometry!$B$16-C19)</f>
        <v>226.76798447238372</v>
      </c>
      <c r="G19" s="3">
        <f>IF(NOT(ISNUMBER($A19)),"",Inputs!$D$15+Geometry!$B$17-D19)</f>
        <v>11.015351937228701</v>
      </c>
      <c r="H19" s="3">
        <f>IF(NOT(ISNUMBER($A19)),"",2*(E19*Geometry!$B$18+F19*Geometry!$B$19+G19*Geometry!$B$20))</f>
        <v>10639.679010620563</v>
      </c>
      <c r="I19" s="3">
        <f>IF(NOT(ISNUMBER($A19)),"",2*(E19*Geometry!$B$21+F19*Geometry!$B$22+G19*Geometry!$B$23))</f>
        <v>67512.630817894285</v>
      </c>
      <c r="J19" s="3">
        <f>IF(NOT(ISNUMBER($A19)),"",Geometry!$B$24^2-(E19^2+F19^2+G19^2)-(Geometry!$B$18^2+Geometry!$B$19^2+Geometry!$B$20^2))</f>
        <v>-10326.86298937942</v>
      </c>
      <c r="K19" s="3">
        <f t="shared" si="0"/>
        <v>68345.871048676592</v>
      </c>
      <c r="L19" s="3">
        <f t="shared" si="1"/>
        <v>-0.15109710112589725</v>
      </c>
      <c r="M19" s="3">
        <f t="shared" si="2"/>
        <v>1.4144865340981441</v>
      </c>
      <c r="N19" s="3">
        <f t="shared" si="3"/>
        <v>1.7224743489971643</v>
      </c>
      <c r="O19" s="3">
        <f>IF(M19="","",MOD(M19+Geometry!$B$47*N19+PI(),2*PI())-PI())</f>
        <v>-0.30798781489902005</v>
      </c>
      <c r="P19" s="3" t="b">
        <f t="shared" si="4"/>
        <v>1</v>
      </c>
      <c r="Q19" s="3">
        <f>IF(P19=FALSE,"",IF((Geometry!$B$28*COS(O19)+Geometry!$B$32*SIN(O19)+Geometry!$B$8*Geometry!$B$30*(1-COS(O19)))&gt;=0,1,-1)*ACOS(MAX(-1,MIN(1,(Geometry!$B$27*COS(O19)+Geometry!$B$31*SIN(O19)+Geometry!$B$7*Geometry!$B$30*(1-COS(O19)))/SQRT((Geometry!$B$27*COS(O19)+Geometry!$B$31*SIN(O19)+Geometry!$B$7*Geometry!$B$30*(1-COS(O19)))^2+(Geometry!$B$28*COS(O19)+Geometry!$B$32*SIN(O19)+Geometry!$B$8*Geometry!$B$30*(1-COS(O19)))^2))))*180/PI())</f>
        <v>-17.304229374500604</v>
      </c>
      <c r="R19" s="3">
        <f>IF(NOT(ISNUMBER($A19)),"",Inputs!$B$21+$A19*Inputs!$E$6/SQRT(Inputs!$E$6^2+Inputs!$E$7^2+Inputs!$E$8^2))</f>
        <v>919.87300000000005</v>
      </c>
      <c r="S19" s="3">
        <f>IF(NOT(ISNUMBER($A19)),"",Inputs!$C$21+$A19*Inputs!$E$7/SQRT(Inputs!$E$6^2+Inputs!$E$7^2+Inputs!$E$8^2))</f>
        <v>-300.45400000000001</v>
      </c>
      <c r="T19" s="3">
        <f>IF(NOT(ISNUMBER($A19)),"",Inputs!$D$21+$A19*Inputs!$E$8/SQRT(Inputs!$E$6^2+Inputs!$E$7^2+Inputs!$E$8^2))</f>
        <v>182.18899999999999</v>
      </c>
      <c r="U19" s="3">
        <f>IF(NOT(ISNUMBER($A19)),"",Inputs!$B$19+Geometry!$C$15-R19)</f>
        <v>-24.932661268328502</v>
      </c>
      <c r="V19" s="3">
        <f>IF(NOT(ISNUMBER($A19)),"",Inputs!$C$19+Geometry!$C$16-S19)</f>
        <v>-140.76798447238372</v>
      </c>
      <c r="W19" s="3">
        <f>IF(NOT(ISNUMBER($A19)),"",Inputs!$D$19+Geometry!$C$17-T19)</f>
        <v>11.015351937228701</v>
      </c>
      <c r="X19" s="3">
        <f>IF(NOT(ISNUMBER($A19)),"",2*(U19*Geometry!$C$18+V19*Geometry!$C$19+W19*Geometry!$C$20))</f>
        <v>4012.6883398705691</v>
      </c>
      <c r="Y19" s="3">
        <f>IF(NOT(ISNUMBER($A19)),"",2*(U19*Geometry!$C$21+V19*Geometry!$C$22+W19*Geometry!$C$23))</f>
        <v>-42875.147467015529</v>
      </c>
      <c r="Z19" s="3">
        <f>IF(NOT(ISNUMBER($A19)),"",Geometry!$C$24^2-(U19^2+V19^2+W19^2)-(Geometry!$C$18^2+Geometry!$C$19^2+Geometry!$C$20^2))</f>
        <v>21281.230339870577</v>
      </c>
      <c r="AA19" s="3">
        <f t="shared" si="5"/>
        <v>43062.511980042007</v>
      </c>
      <c r="AB19" s="3">
        <f t="shared" si="6"/>
        <v>0.49419389072643266</v>
      </c>
      <c r="AC19" s="3">
        <f t="shared" si="7"/>
        <v>-1.4774780779634089</v>
      </c>
      <c r="AD19" s="3">
        <f t="shared" si="8"/>
        <v>1.053888993140855</v>
      </c>
      <c r="AE19" s="3">
        <f>IF(AC19="","",MOD(AC19+Geometry!$C$47*AD19+PI(),2*PI())-PI())</f>
        <v>-0.42358908482255409</v>
      </c>
      <c r="AF19" s="3" t="b">
        <f t="shared" si="9"/>
        <v>1</v>
      </c>
      <c r="AG19" s="3">
        <f>IF(AF19=FALSE,"",IF((Geometry!$C$28*COS(AE19)+Geometry!$C$32*SIN(AE19)+Geometry!$C$8*Geometry!$C$30*(1-COS(AE19)))&gt;=0,1,-1)*ACOS(MAX(-1,MIN(1,(Geometry!$C$27*COS(AE19)+Geometry!$C$31*SIN(AE19)+Geometry!$C$7*Geometry!$C$30*(1-COS(AE19)))/SQRT((Geometry!$C$27*COS(AE19)+Geometry!$C$31*SIN(AE19)+Geometry!$C$7*Geometry!$C$30*(1-COS(AE19)))^2+(Geometry!$C$28*COS(AE19)+Geometry!$C$32*SIN(AE19)+Geometry!$C$8*Geometry!$C$30*(1-COS(AE19)))^2))))*180/PI())</f>
        <v>-23.919934404596802</v>
      </c>
    </row>
    <row r="20" spans="1:33">
      <c r="A20" s="3">
        <f>IF(Inputs!$E$9+18*Inputs!$E$11&lt;=Inputs!$E$10,Inputs!$E$9+18*Inputs!$E$11,"")</f>
        <v>-42</v>
      </c>
      <c r="B20" s="3">
        <f>IF(NOT(ISNUMBER($A20)),"",Inputs!$B$17+$A20*Inputs!$E$6/SQRT(Inputs!$E$6^2+Inputs!$E$7^2+Inputs!$E$8^2))</f>
        <v>919.87300000000005</v>
      </c>
      <c r="C20" s="3">
        <f>IF(NOT(ISNUMBER($A20)),"",Inputs!$C$17+$A20*Inputs!$E$7/SQRT(Inputs!$E$6^2+Inputs!$E$7^2+Inputs!$E$8^2))</f>
        <v>215.45400000000001</v>
      </c>
      <c r="D20" s="3">
        <f>IF(NOT(ISNUMBER($A20)),"",Inputs!$D$17+$A20*Inputs!$E$8/SQRT(Inputs!$E$6^2+Inputs!$E$7^2+Inputs!$E$8^2))</f>
        <v>182.18899999999999</v>
      </c>
      <c r="E20" s="3">
        <f>IF(NOT(ISNUMBER($A20)),"",Inputs!$B$15+Geometry!$B$15-B20)</f>
        <v>-24.932661268328502</v>
      </c>
      <c r="F20" s="3">
        <f>IF(NOT(ISNUMBER($A20)),"",Inputs!$C$15+Geometry!$B$16-C20)</f>
        <v>225.76798447238372</v>
      </c>
      <c r="G20" s="3">
        <f>IF(NOT(ISNUMBER($A20)),"",Inputs!$D$15+Geometry!$B$17-D20)</f>
        <v>11.015351937228701</v>
      </c>
      <c r="H20" s="3">
        <f>IF(NOT(ISNUMBER($A20)),"",2*(E20*Geometry!$B$18+F20*Geometry!$B$19+G20*Geometry!$B$20))</f>
        <v>10562.62097956533</v>
      </c>
      <c r="I20" s="3">
        <f>IF(NOT(ISNUMBER($A20)),"",2*(E20*Geometry!$B$21+F20*Geometry!$B$22+G20*Geometry!$B$23))</f>
        <v>67226.148453349189</v>
      </c>
      <c r="J20" s="3">
        <f>IF(NOT(ISNUMBER($A20)),"",Geometry!$B$24^2-(E20^2+F20^2+G20^2)-(Geometry!$B$18^2+Geometry!$B$19^2+Geometry!$B$20^2))</f>
        <v>-9874.3270204346554</v>
      </c>
      <c r="K20" s="3">
        <f t="shared" si="0"/>
        <v>68050.892704135025</v>
      </c>
      <c r="L20" s="3">
        <f t="shared" si="1"/>
        <v>-0.14510209386033013</v>
      </c>
      <c r="M20" s="3">
        <f t="shared" si="2"/>
        <v>1.41494972722196</v>
      </c>
      <c r="N20" s="3">
        <f t="shared" si="3"/>
        <v>1.7164124844277664</v>
      </c>
      <c r="O20" s="3">
        <f>IF(M20="","",MOD(M20+Geometry!$B$47*N20+PI(),2*PI())-PI())</f>
        <v>-0.3014627572058064</v>
      </c>
      <c r="P20" s="3" t="b">
        <f t="shared" si="4"/>
        <v>1</v>
      </c>
      <c r="Q20" s="3">
        <f>IF(P20=FALSE,"",IF((Geometry!$B$28*COS(O20)+Geometry!$B$32*SIN(O20)+Geometry!$B$8*Geometry!$B$30*(1-COS(O20)))&gt;=0,1,-1)*ACOS(MAX(-1,MIN(1,(Geometry!$B$27*COS(O20)+Geometry!$B$31*SIN(O20)+Geometry!$B$7*Geometry!$B$30*(1-COS(O20)))/SQRT((Geometry!$B$27*COS(O20)+Geometry!$B$31*SIN(O20)+Geometry!$B$7*Geometry!$B$30*(1-COS(O20)))^2+(Geometry!$B$28*COS(O20)+Geometry!$B$32*SIN(O20)+Geometry!$B$8*Geometry!$B$30*(1-COS(O20)))^2))))*180/PI())</f>
        <v>-16.937579817235839</v>
      </c>
      <c r="R20" s="3">
        <f>IF(NOT(ISNUMBER($A20)),"",Inputs!$B$21+$A20*Inputs!$E$6/SQRT(Inputs!$E$6^2+Inputs!$E$7^2+Inputs!$E$8^2))</f>
        <v>919.87300000000005</v>
      </c>
      <c r="S20" s="3">
        <f>IF(NOT(ISNUMBER($A20)),"",Inputs!$C$21+$A20*Inputs!$E$7/SQRT(Inputs!$E$6^2+Inputs!$E$7^2+Inputs!$E$8^2))</f>
        <v>-299.45400000000001</v>
      </c>
      <c r="T20" s="3">
        <f>IF(NOT(ISNUMBER($A20)),"",Inputs!$D$21+$A20*Inputs!$E$8/SQRT(Inputs!$E$6^2+Inputs!$E$7^2+Inputs!$E$8^2))</f>
        <v>182.18899999999999</v>
      </c>
      <c r="U20" s="3">
        <f>IF(NOT(ISNUMBER($A20)),"",Inputs!$B$19+Geometry!$C$15-R20)</f>
        <v>-24.932661268328502</v>
      </c>
      <c r="V20" s="3">
        <f>IF(NOT(ISNUMBER($A20)),"",Inputs!$C$19+Geometry!$C$16-S20)</f>
        <v>-141.76798447238372</v>
      </c>
      <c r="W20" s="3">
        <f>IF(NOT(ISNUMBER($A20)),"",Inputs!$D$19+Geometry!$C$17-T20)</f>
        <v>11.015351937228701</v>
      </c>
      <c r="X20" s="3">
        <f>IF(NOT(ISNUMBER($A20)),"",2*(U20*Geometry!$C$18+V20*Geometry!$C$19+W20*Geometry!$C$20))</f>
        <v>4089.7463709258013</v>
      </c>
      <c r="Y20" s="3">
        <f>IF(NOT(ISNUMBER($A20)),"",2*(U20*Geometry!$C$21+V20*Geometry!$C$22+W20*Geometry!$C$23))</f>
        <v>-43161.629831560633</v>
      </c>
      <c r="Z20" s="3">
        <f>IF(NOT(ISNUMBER($A20)),"",Geometry!$C$24^2-(U20^2+V20^2+W20^2)-(Geometry!$C$18^2+Geometry!$C$19^2+Geometry!$C$20^2))</f>
        <v>20998.694370925805</v>
      </c>
      <c r="AA20" s="3">
        <f t="shared" si="5"/>
        <v>43354.957214777241</v>
      </c>
      <c r="AB20" s="3">
        <f t="shared" si="6"/>
        <v>0.48434356115033927</v>
      </c>
      <c r="AC20" s="3">
        <f t="shared" si="7"/>
        <v>-1.4763241726531813</v>
      </c>
      <c r="AD20" s="3">
        <f t="shared" si="8"/>
        <v>1.0651836356299427</v>
      </c>
      <c r="AE20" s="3">
        <f>IF(AC20="","",MOD(AC20+Geometry!$C$47*AD20+PI(),2*PI())-PI())</f>
        <v>-0.41114053702323883</v>
      </c>
      <c r="AF20" s="3" t="b">
        <f t="shared" si="9"/>
        <v>1</v>
      </c>
      <c r="AG20" s="3">
        <f>IF(AF20=FALSE,"",IF((Geometry!$C$28*COS(AE20)+Geometry!$C$32*SIN(AE20)+Geometry!$C$8*Geometry!$C$30*(1-COS(AE20)))&gt;=0,1,-1)*ACOS(MAX(-1,MIN(1,(Geometry!$C$27*COS(AE20)+Geometry!$C$31*SIN(AE20)+Geometry!$C$7*Geometry!$C$30*(1-COS(AE20)))/SQRT((Geometry!$C$27*COS(AE20)+Geometry!$C$31*SIN(AE20)+Geometry!$C$7*Geometry!$C$30*(1-COS(AE20)))^2+(Geometry!$C$28*COS(AE20)+Geometry!$C$32*SIN(AE20)+Geometry!$C$8*Geometry!$C$30*(1-COS(AE20)))^2))))*180/PI())</f>
        <v>-23.213446275804667</v>
      </c>
    </row>
    <row r="21" spans="1:33">
      <c r="A21" s="3">
        <f>IF(Inputs!$E$9+19*Inputs!$E$11&lt;=Inputs!$E$10,Inputs!$E$9+19*Inputs!$E$11,"")</f>
        <v>-41</v>
      </c>
      <c r="B21" s="3">
        <f>IF(NOT(ISNUMBER($A21)),"",Inputs!$B$17+$A21*Inputs!$E$6/SQRT(Inputs!$E$6^2+Inputs!$E$7^2+Inputs!$E$8^2))</f>
        <v>919.87300000000005</v>
      </c>
      <c r="C21" s="3">
        <f>IF(NOT(ISNUMBER($A21)),"",Inputs!$C$17+$A21*Inputs!$E$7/SQRT(Inputs!$E$6^2+Inputs!$E$7^2+Inputs!$E$8^2))</f>
        <v>216.45400000000001</v>
      </c>
      <c r="D21" s="3">
        <f>IF(NOT(ISNUMBER($A21)),"",Inputs!$D$17+$A21*Inputs!$E$8/SQRT(Inputs!$E$6^2+Inputs!$E$7^2+Inputs!$E$8^2))</f>
        <v>182.18899999999999</v>
      </c>
      <c r="E21" s="3">
        <f>IF(NOT(ISNUMBER($A21)),"",Inputs!$B$15+Geometry!$B$15-B21)</f>
        <v>-24.932661268328502</v>
      </c>
      <c r="F21" s="3">
        <f>IF(NOT(ISNUMBER($A21)),"",Inputs!$C$15+Geometry!$B$16-C21)</f>
        <v>224.76798447238372</v>
      </c>
      <c r="G21" s="3">
        <f>IF(NOT(ISNUMBER($A21)),"",Inputs!$D$15+Geometry!$B$17-D21)</f>
        <v>11.015351937228701</v>
      </c>
      <c r="H21" s="3">
        <f>IF(NOT(ISNUMBER($A21)),"",2*(E21*Geometry!$B$18+F21*Geometry!$B$19+G21*Geometry!$B$20))</f>
        <v>10485.562948510098</v>
      </c>
      <c r="I21" s="3">
        <f>IF(NOT(ISNUMBER($A21)),"",2*(E21*Geometry!$B$21+F21*Geometry!$B$22+G21*Geometry!$B$23))</f>
        <v>66939.666088804079</v>
      </c>
      <c r="J21" s="3">
        <f>IF(NOT(ISNUMBER($A21)),"",Geometry!$B$24^2-(E21^2+F21^2+G21^2)-(Geometry!$B$18^2+Geometry!$B$19^2+Geometry!$B$20^2))</f>
        <v>-9423.7910514898904</v>
      </c>
      <c r="K21" s="3">
        <f t="shared" si="0"/>
        <v>67755.929086890654</v>
      </c>
      <c r="L21" s="3">
        <f t="shared" si="1"/>
        <v>-0.13908437502797369</v>
      </c>
      <c r="M21" s="3">
        <f t="shared" si="2"/>
        <v>1.4154169533076675</v>
      </c>
      <c r="N21" s="3">
        <f t="shared" si="3"/>
        <v>1.7103330696258079</v>
      </c>
      <c r="O21" s="3">
        <f>IF(M21="","",MOD(M21+Geometry!$B$47*N21+PI(),2*PI())-PI())</f>
        <v>-0.29491611631814063</v>
      </c>
      <c r="P21" s="3" t="b">
        <f t="shared" si="4"/>
        <v>1</v>
      </c>
      <c r="Q21" s="3">
        <f>IF(P21=FALSE,"",IF((Geometry!$B$28*COS(O21)+Geometry!$B$32*SIN(O21)+Geometry!$B$8*Geometry!$B$30*(1-COS(O21)))&gt;=0,1,-1)*ACOS(MAX(-1,MIN(1,(Geometry!$B$27*COS(O21)+Geometry!$B$31*SIN(O21)+Geometry!$B$7*Geometry!$B$30*(1-COS(O21)))/SQRT((Geometry!$B$27*COS(O21)+Geometry!$B$31*SIN(O21)+Geometry!$B$7*Geometry!$B$30*(1-COS(O21)))^2+(Geometry!$B$28*COS(O21)+Geometry!$B$32*SIN(O21)+Geometry!$B$8*Geometry!$B$30*(1-COS(O21)))^2))))*180/PI())</f>
        <v>-16.569736129354112</v>
      </c>
      <c r="R21" s="3">
        <f>IF(NOT(ISNUMBER($A21)),"",Inputs!$B$21+$A21*Inputs!$E$6/SQRT(Inputs!$E$6^2+Inputs!$E$7^2+Inputs!$E$8^2))</f>
        <v>919.87300000000005</v>
      </c>
      <c r="S21" s="3">
        <f>IF(NOT(ISNUMBER($A21)),"",Inputs!$C$21+$A21*Inputs!$E$7/SQRT(Inputs!$E$6^2+Inputs!$E$7^2+Inputs!$E$8^2))</f>
        <v>-298.45400000000001</v>
      </c>
      <c r="T21" s="3">
        <f>IF(NOT(ISNUMBER($A21)),"",Inputs!$D$21+$A21*Inputs!$E$8/SQRT(Inputs!$E$6^2+Inputs!$E$7^2+Inputs!$E$8^2))</f>
        <v>182.18899999999999</v>
      </c>
      <c r="U21" s="3">
        <f>IF(NOT(ISNUMBER($A21)),"",Inputs!$B$19+Geometry!$C$15-R21)</f>
        <v>-24.932661268328502</v>
      </c>
      <c r="V21" s="3">
        <f>IF(NOT(ISNUMBER($A21)),"",Inputs!$C$19+Geometry!$C$16-S21)</f>
        <v>-142.76798447238372</v>
      </c>
      <c r="W21" s="3">
        <f>IF(NOT(ISNUMBER($A21)),"",Inputs!$D$19+Geometry!$C$17-T21)</f>
        <v>11.015351937228701</v>
      </c>
      <c r="X21" s="3">
        <f>IF(NOT(ISNUMBER($A21)),"",2*(U21*Geometry!$C$18+V21*Geometry!$C$19+W21*Geometry!$C$20))</f>
        <v>4166.8044019810332</v>
      </c>
      <c r="Y21" s="3">
        <f>IF(NOT(ISNUMBER($A21)),"",2*(U21*Geometry!$C$21+V21*Geometry!$C$22+W21*Geometry!$C$23))</f>
        <v>-43448.112196105736</v>
      </c>
      <c r="Z21" s="3">
        <f>IF(NOT(ISNUMBER($A21)),"",Geometry!$C$24^2-(U21^2+V21^2+W21^2)-(Geometry!$C$18^2+Geometry!$C$19^2+Geometry!$C$20^2))</f>
        <v>20714.15840198104</v>
      </c>
      <c r="AA21" s="3">
        <f t="shared" si="5"/>
        <v>43647.459402922417</v>
      </c>
      <c r="AB21" s="3">
        <f t="shared" si="6"/>
        <v>0.47457878844132961</v>
      </c>
      <c r="AC21" s="3">
        <f t="shared" si="7"/>
        <v>-1.4751857315702026</v>
      </c>
      <c r="AD21" s="3">
        <f t="shared" si="8"/>
        <v>1.0763108905016492</v>
      </c>
      <c r="AE21" s="3">
        <f>IF(AC21="","",MOD(AC21+Geometry!$C$47*AD21+PI(),2*PI())-PI())</f>
        <v>-0.39887484106855364</v>
      </c>
      <c r="AF21" s="3" t="b">
        <f t="shared" si="9"/>
        <v>1</v>
      </c>
      <c r="AG21" s="3">
        <f>IF(AF21=FALSE,"",IF((Geometry!$C$28*COS(AE21)+Geometry!$C$32*SIN(AE21)+Geometry!$C$8*Geometry!$C$30*(1-COS(AE21)))&gt;=0,1,-1)*ACOS(MAX(-1,MIN(1,(Geometry!$C$27*COS(AE21)+Geometry!$C$31*SIN(AE21)+Geometry!$C$7*Geometry!$C$30*(1-COS(AE21)))/SQRT((Geometry!$C$27*COS(AE21)+Geometry!$C$31*SIN(AE21)+Geometry!$C$7*Geometry!$C$30*(1-COS(AE21)))^2+(Geometry!$C$28*COS(AE21)+Geometry!$C$32*SIN(AE21)+Geometry!$C$8*Geometry!$C$30*(1-COS(AE21)))^2))))*180/PI())</f>
        <v>-22.517571758251627</v>
      </c>
    </row>
    <row r="22" spans="1:33">
      <c r="A22" s="3">
        <f>IF(Inputs!$E$9+20*Inputs!$E$11&lt;=Inputs!$E$10,Inputs!$E$9+20*Inputs!$E$11,"")</f>
        <v>-40</v>
      </c>
      <c r="B22" s="3">
        <f>IF(NOT(ISNUMBER($A22)),"",Inputs!$B$17+$A22*Inputs!$E$6/SQRT(Inputs!$E$6^2+Inputs!$E$7^2+Inputs!$E$8^2))</f>
        <v>919.87300000000005</v>
      </c>
      <c r="C22" s="3">
        <f>IF(NOT(ISNUMBER($A22)),"",Inputs!$C$17+$A22*Inputs!$E$7/SQRT(Inputs!$E$6^2+Inputs!$E$7^2+Inputs!$E$8^2))</f>
        <v>217.45400000000001</v>
      </c>
      <c r="D22" s="3">
        <f>IF(NOT(ISNUMBER($A22)),"",Inputs!$D$17+$A22*Inputs!$E$8/SQRT(Inputs!$E$6^2+Inputs!$E$7^2+Inputs!$E$8^2))</f>
        <v>182.18899999999999</v>
      </c>
      <c r="E22" s="3">
        <f>IF(NOT(ISNUMBER($A22)),"",Inputs!$B$15+Geometry!$B$15-B22)</f>
        <v>-24.932661268328502</v>
      </c>
      <c r="F22" s="3">
        <f>IF(NOT(ISNUMBER($A22)),"",Inputs!$C$15+Geometry!$B$16-C22)</f>
        <v>223.76798447238372</v>
      </c>
      <c r="G22" s="3">
        <f>IF(NOT(ISNUMBER($A22)),"",Inputs!$D$15+Geometry!$B$17-D22)</f>
        <v>11.015351937228701</v>
      </c>
      <c r="H22" s="3">
        <f>IF(NOT(ISNUMBER($A22)),"",2*(E22*Geometry!$B$18+F22*Geometry!$B$19+G22*Geometry!$B$20))</f>
        <v>10408.504917454866</v>
      </c>
      <c r="I22" s="3">
        <f>IF(NOT(ISNUMBER($A22)),"",2*(E22*Geometry!$B$21+F22*Geometry!$B$22+G22*Geometry!$B$23))</f>
        <v>66653.183724258983</v>
      </c>
      <c r="J22" s="3">
        <f>IF(NOT(ISNUMBER($A22)),"",Geometry!$B$24^2-(E22^2+F22^2+G22^2)-(Geometry!$B$18^2+Geometry!$B$19^2+Geometry!$B$20^2))</f>
        <v>-8975.2550825451181</v>
      </c>
      <c r="K22" s="3">
        <f t="shared" si="0"/>
        <v>67460.980390122597</v>
      </c>
      <c r="L22" s="3">
        <f t="shared" si="1"/>
        <v>-0.13304365027963994</v>
      </c>
      <c r="M22" s="3">
        <f t="shared" si="2"/>
        <v>1.4158882650505966</v>
      </c>
      <c r="N22" s="3">
        <f t="shared" si="3"/>
        <v>1.7042356290837863</v>
      </c>
      <c r="O22" s="3">
        <f>IF(M22="","",MOD(M22+Geometry!$B$47*N22+PI(),2*PI())-PI())</f>
        <v>-0.28834736403318972</v>
      </c>
      <c r="P22" s="3" t="b">
        <f t="shared" si="4"/>
        <v>1</v>
      </c>
      <c r="Q22" s="3">
        <f>IF(P22=FALSE,"",IF((Geometry!$B$28*COS(O22)+Geometry!$B$32*SIN(O22)+Geometry!$B$8*Geometry!$B$30*(1-COS(O22)))&gt;=0,1,-1)*ACOS(MAX(-1,MIN(1,(Geometry!$B$27*COS(O22)+Geometry!$B$31*SIN(O22)+Geometry!$B$7*Geometry!$B$30*(1-COS(O22)))/SQRT((Geometry!$B$27*COS(O22)+Geometry!$B$31*SIN(O22)+Geometry!$B$7*Geometry!$B$30*(1-COS(O22)))^2+(Geometry!$B$28*COS(O22)+Geometry!$B$32*SIN(O22)+Geometry!$B$8*Geometry!$B$30*(1-COS(O22)))^2))))*180/PI())</f>
        <v>-16.200667653988138</v>
      </c>
      <c r="R22" s="3">
        <f>IF(NOT(ISNUMBER($A22)),"",Inputs!$B$21+$A22*Inputs!$E$6/SQRT(Inputs!$E$6^2+Inputs!$E$7^2+Inputs!$E$8^2))</f>
        <v>919.87300000000005</v>
      </c>
      <c r="S22" s="3">
        <f>IF(NOT(ISNUMBER($A22)),"",Inputs!$C$21+$A22*Inputs!$E$7/SQRT(Inputs!$E$6^2+Inputs!$E$7^2+Inputs!$E$8^2))</f>
        <v>-297.45400000000001</v>
      </c>
      <c r="T22" s="3">
        <f>IF(NOT(ISNUMBER($A22)),"",Inputs!$D$21+$A22*Inputs!$E$8/SQRT(Inputs!$E$6^2+Inputs!$E$7^2+Inputs!$E$8^2))</f>
        <v>182.18899999999999</v>
      </c>
      <c r="U22" s="3">
        <f>IF(NOT(ISNUMBER($A22)),"",Inputs!$B$19+Geometry!$C$15-R22)</f>
        <v>-24.932661268328502</v>
      </c>
      <c r="V22" s="3">
        <f>IF(NOT(ISNUMBER($A22)),"",Inputs!$C$19+Geometry!$C$16-S22)</f>
        <v>-143.76798447238372</v>
      </c>
      <c r="W22" s="3">
        <f>IF(NOT(ISNUMBER($A22)),"",Inputs!$D$19+Geometry!$C$17-T22)</f>
        <v>11.015351937228701</v>
      </c>
      <c r="X22" s="3">
        <f>IF(NOT(ISNUMBER($A22)),"",2*(U22*Geometry!$C$18+V22*Geometry!$C$19+W22*Geometry!$C$20))</f>
        <v>4243.8624330362654</v>
      </c>
      <c r="Y22" s="3">
        <f>IF(NOT(ISNUMBER($A22)),"",2*(U22*Geometry!$C$21+V22*Geometry!$C$22+W22*Geometry!$C$23))</f>
        <v>-43734.594560650839</v>
      </c>
      <c r="Z22" s="3">
        <f>IF(NOT(ISNUMBER($A22)),"",Geometry!$C$24^2-(U22^2+V22^2+W22^2)-(Geometry!$C$18^2+Geometry!$C$19^2+Geometry!$C$20^2))</f>
        <v>20427.622433036275</v>
      </c>
      <c r="AA22" s="3">
        <f t="shared" si="5"/>
        <v>43940.017407086292</v>
      </c>
      <c r="AB22" s="3">
        <f t="shared" si="6"/>
        <v>0.46489791398539299</v>
      </c>
      <c r="AC22" s="3">
        <f t="shared" si="7"/>
        <v>-1.4740624488071399</v>
      </c>
      <c r="AD22" s="3">
        <f t="shared" si="8"/>
        <v>1.0872770230341779</v>
      </c>
      <c r="AE22" s="3">
        <f>IF(AC22="","",MOD(AC22+Geometry!$C$47*AD22+PI(),2*PI())-PI())</f>
        <v>-0.38678542577296193</v>
      </c>
      <c r="AF22" s="3" t="b">
        <f t="shared" si="9"/>
        <v>1</v>
      </c>
      <c r="AG22" s="3">
        <f>IF(AF22=FALSE,"",IF((Geometry!$C$28*COS(AE22)+Geometry!$C$32*SIN(AE22)+Geometry!$C$8*Geometry!$C$30*(1-COS(AE22)))&gt;=0,1,-1)*ACOS(MAX(-1,MIN(1,(Geometry!$C$27*COS(AE22)+Geometry!$C$31*SIN(AE22)+Geometry!$C$7*Geometry!$C$30*(1-COS(AE22)))/SQRT((Geometry!$C$27*COS(AE22)+Geometry!$C$31*SIN(AE22)+Geometry!$C$7*Geometry!$C$30*(1-COS(AE22)))^2+(Geometry!$C$28*COS(AE22)+Geometry!$C$32*SIN(AE22)+Geometry!$C$8*Geometry!$C$30*(1-COS(AE22)))^2))))*180/PI())</f>
        <v>-21.831926545172564</v>
      </c>
    </row>
    <row r="23" spans="1:33">
      <c r="A23" s="3">
        <f>IF(Inputs!$E$9+21*Inputs!$E$11&lt;=Inputs!$E$10,Inputs!$E$9+21*Inputs!$E$11,"")</f>
        <v>-39</v>
      </c>
      <c r="B23" s="3">
        <f>IF(NOT(ISNUMBER($A23)),"",Inputs!$B$17+$A23*Inputs!$E$6/SQRT(Inputs!$E$6^2+Inputs!$E$7^2+Inputs!$E$8^2))</f>
        <v>919.87300000000005</v>
      </c>
      <c r="C23" s="3">
        <f>IF(NOT(ISNUMBER($A23)),"",Inputs!$C$17+$A23*Inputs!$E$7/SQRT(Inputs!$E$6^2+Inputs!$E$7^2+Inputs!$E$8^2))</f>
        <v>218.45400000000001</v>
      </c>
      <c r="D23" s="3">
        <f>IF(NOT(ISNUMBER($A23)),"",Inputs!$D$17+$A23*Inputs!$E$8/SQRT(Inputs!$E$6^2+Inputs!$E$7^2+Inputs!$E$8^2))</f>
        <v>182.18899999999999</v>
      </c>
      <c r="E23" s="3">
        <f>IF(NOT(ISNUMBER($A23)),"",Inputs!$B$15+Geometry!$B$15-B23)</f>
        <v>-24.932661268328502</v>
      </c>
      <c r="F23" s="3">
        <f>IF(NOT(ISNUMBER($A23)),"",Inputs!$C$15+Geometry!$B$16-C23)</f>
        <v>222.76798447238372</v>
      </c>
      <c r="G23" s="3">
        <f>IF(NOT(ISNUMBER($A23)),"",Inputs!$D$15+Geometry!$B$17-D23)</f>
        <v>11.015351937228701</v>
      </c>
      <c r="H23" s="3">
        <f>IF(NOT(ISNUMBER($A23)),"",2*(E23*Geometry!$B$18+F23*Geometry!$B$19+G23*Geometry!$B$20))</f>
        <v>10331.446886399634</v>
      </c>
      <c r="I23" s="3">
        <f>IF(NOT(ISNUMBER($A23)),"",2*(E23*Geometry!$B$21+F23*Geometry!$B$22+G23*Geometry!$B$23))</f>
        <v>66366.701359713872</v>
      </c>
      <c r="J23" s="3">
        <f>IF(NOT(ISNUMBER($A23)),"",Geometry!$B$24^2-(E23^2+F23^2+G23^2)-(Geometry!$B$18^2+Geometry!$B$19^2+Geometry!$B$20^2))</f>
        <v>-8528.719113600353</v>
      </c>
      <c r="K23" s="3">
        <f t="shared" si="0"/>
        <v>67166.046810393294</v>
      </c>
      <c r="L23" s="3">
        <f t="shared" si="1"/>
        <v>-0.12697962018929804</v>
      </c>
      <c r="M23" s="3">
        <f t="shared" si="2"/>
        <v>1.4163637160644507</v>
      </c>
      <c r="N23" s="3">
        <f t="shared" si="3"/>
        <v>1.6981196797407319</v>
      </c>
      <c r="O23" s="3">
        <f>IF(M23="","",MOD(M23+Geometry!$B$47*N23+PI(),2*PI())-PI())</f>
        <v>-0.28175596367628142</v>
      </c>
      <c r="P23" s="3" t="b">
        <f t="shared" si="4"/>
        <v>1</v>
      </c>
      <c r="Q23" s="3">
        <f>IF(P23=FALSE,"",IF((Geometry!$B$28*COS(O23)+Geometry!$B$32*SIN(O23)+Geometry!$B$8*Geometry!$B$30*(1-COS(O23)))&gt;=0,1,-1)*ACOS(MAX(-1,MIN(1,(Geometry!$B$27*COS(O23)+Geometry!$B$31*SIN(O23)+Geometry!$B$7*Geometry!$B$30*(1-COS(O23)))/SQRT((Geometry!$B$27*COS(O23)+Geometry!$B$31*SIN(O23)+Geometry!$B$7*Geometry!$B$30*(1-COS(O23)))^2+(Geometry!$B$28*COS(O23)+Geometry!$B$32*SIN(O23)+Geometry!$B$8*Geometry!$B$30*(1-COS(O23)))^2))))*180/PI())</f>
        <v>-15.830343242561698</v>
      </c>
      <c r="R23" s="3">
        <f>IF(NOT(ISNUMBER($A23)),"",Inputs!$B$21+$A23*Inputs!$E$6/SQRT(Inputs!$E$6^2+Inputs!$E$7^2+Inputs!$E$8^2))</f>
        <v>919.87300000000005</v>
      </c>
      <c r="S23" s="3">
        <f>IF(NOT(ISNUMBER($A23)),"",Inputs!$C$21+$A23*Inputs!$E$7/SQRT(Inputs!$E$6^2+Inputs!$E$7^2+Inputs!$E$8^2))</f>
        <v>-296.45400000000001</v>
      </c>
      <c r="T23" s="3">
        <f>IF(NOT(ISNUMBER($A23)),"",Inputs!$D$21+$A23*Inputs!$E$8/SQRT(Inputs!$E$6^2+Inputs!$E$7^2+Inputs!$E$8^2))</f>
        <v>182.18899999999999</v>
      </c>
      <c r="U23" s="3">
        <f>IF(NOT(ISNUMBER($A23)),"",Inputs!$B$19+Geometry!$C$15-R23)</f>
        <v>-24.932661268328502</v>
      </c>
      <c r="V23" s="3">
        <f>IF(NOT(ISNUMBER($A23)),"",Inputs!$C$19+Geometry!$C$16-S23)</f>
        <v>-144.76798447238372</v>
      </c>
      <c r="W23" s="3">
        <f>IF(NOT(ISNUMBER($A23)),"",Inputs!$D$19+Geometry!$C$17-T23)</f>
        <v>11.015351937228701</v>
      </c>
      <c r="X23" s="3">
        <f>IF(NOT(ISNUMBER($A23)),"",2*(U23*Geometry!$C$18+V23*Geometry!$C$19+W23*Geometry!$C$20))</f>
        <v>4320.9204640914977</v>
      </c>
      <c r="Y23" s="3">
        <f>IF(NOT(ISNUMBER($A23)),"",2*(U23*Geometry!$C$21+V23*Geometry!$C$22+W23*Geometry!$C$23))</f>
        <v>-44021.076925195943</v>
      </c>
      <c r="Z23" s="3">
        <f>IF(NOT(ISNUMBER($A23)),"",Geometry!$C$24^2-(U23^2+V23^2+W23^2)-(Geometry!$C$18^2+Geometry!$C$19^2+Geometry!$C$20^2))</f>
        <v>20139.08646409151</v>
      </c>
      <c r="AA23" s="3">
        <f t="shared" si="5"/>
        <v>44232.630119754613</v>
      </c>
      <c r="AB23" s="3">
        <f t="shared" si="6"/>
        <v>0.45529932110225679</v>
      </c>
      <c r="AC23" s="3">
        <f t="shared" si="7"/>
        <v>-1.4729540263960137</v>
      </c>
      <c r="AD23" s="3">
        <f t="shared" si="8"/>
        <v>1.0980879535481554</v>
      </c>
      <c r="AE23" s="3">
        <f>IF(AC23="","",MOD(AC23+Geometry!$C$47*AD23+PI(),2*PI())-PI())</f>
        <v>-0.37486607284785833</v>
      </c>
      <c r="AF23" s="3" t="b">
        <f t="shared" si="9"/>
        <v>1</v>
      </c>
      <c r="AG23" s="3">
        <f>IF(AF23=FALSE,"",IF((Geometry!$C$28*COS(AE23)+Geometry!$C$32*SIN(AE23)+Geometry!$C$8*Geometry!$C$30*(1-COS(AE23)))&gt;=0,1,-1)*ACOS(MAX(-1,MIN(1,(Geometry!$C$27*COS(AE23)+Geometry!$C$31*SIN(AE23)+Geometry!$C$7*Geometry!$C$30*(1-COS(AE23)))/SQRT((Geometry!$C$27*COS(AE23)+Geometry!$C$31*SIN(AE23)+Geometry!$C$7*Geometry!$C$30*(1-COS(AE23)))^2+(Geometry!$C$28*COS(AE23)+Geometry!$C$32*SIN(AE23)+Geometry!$C$8*Geometry!$C$30*(1-COS(AE23)))^2))))*180/PI())</f>
        <v>-21.156146918745762</v>
      </c>
    </row>
    <row r="24" spans="1:33">
      <c r="A24" s="3">
        <f>IF(Inputs!$E$9+22*Inputs!$E$11&lt;=Inputs!$E$10,Inputs!$E$9+22*Inputs!$E$11,"")</f>
        <v>-38</v>
      </c>
      <c r="B24" s="3">
        <f>IF(NOT(ISNUMBER($A24)),"",Inputs!$B$17+$A24*Inputs!$E$6/SQRT(Inputs!$E$6^2+Inputs!$E$7^2+Inputs!$E$8^2))</f>
        <v>919.87300000000005</v>
      </c>
      <c r="C24" s="3">
        <f>IF(NOT(ISNUMBER($A24)),"",Inputs!$C$17+$A24*Inputs!$E$7/SQRT(Inputs!$E$6^2+Inputs!$E$7^2+Inputs!$E$8^2))</f>
        <v>219.45400000000001</v>
      </c>
      <c r="D24" s="3">
        <f>IF(NOT(ISNUMBER($A24)),"",Inputs!$D$17+$A24*Inputs!$E$8/SQRT(Inputs!$E$6^2+Inputs!$E$7^2+Inputs!$E$8^2))</f>
        <v>182.18899999999999</v>
      </c>
      <c r="E24" s="3">
        <f>IF(NOT(ISNUMBER($A24)),"",Inputs!$B$15+Geometry!$B$15-B24)</f>
        <v>-24.932661268328502</v>
      </c>
      <c r="F24" s="3">
        <f>IF(NOT(ISNUMBER($A24)),"",Inputs!$C$15+Geometry!$B$16-C24)</f>
        <v>221.76798447238372</v>
      </c>
      <c r="G24" s="3">
        <f>IF(NOT(ISNUMBER($A24)),"",Inputs!$D$15+Geometry!$B$17-D24)</f>
        <v>11.015351937228701</v>
      </c>
      <c r="H24" s="3">
        <f>IF(NOT(ISNUMBER($A24)),"",2*(E24*Geometry!$B$18+F24*Geometry!$B$19+G24*Geometry!$B$20))</f>
        <v>10254.388855344401</v>
      </c>
      <c r="I24" s="3">
        <f>IF(NOT(ISNUMBER($A24)),"",2*(E24*Geometry!$B$21+F24*Geometry!$B$22+G24*Geometry!$B$23))</f>
        <v>66080.218995168776</v>
      </c>
      <c r="J24" s="3">
        <f>IF(NOT(ISNUMBER($A24)),"",Geometry!$B$24^2-(E24^2+F24^2+G24^2)-(Geometry!$B$18^2+Geometry!$B$19^2+Geometry!$B$20^2))</f>
        <v>-8084.183144655588</v>
      </c>
      <c r="K24" s="3">
        <f t="shared" si="0"/>
        <v>66871.128547722867</v>
      </c>
      <c r="L24" s="3">
        <f t="shared" si="1"/>
        <v>-0.12089198014485843</v>
      </c>
      <c r="M24" s="3">
        <f t="shared" si="2"/>
        <v>1.4168433609013196</v>
      </c>
      <c r="N24" s="3">
        <f t="shared" si="3"/>
        <v>1.6919847307088496</v>
      </c>
      <c r="O24" s="3">
        <f>IF(M24="","",MOD(M24+Geometry!$B$47*N24+PI(),2*PI())-PI())</f>
        <v>-0.27514136980753001</v>
      </c>
      <c r="P24" s="3" t="b">
        <f t="shared" si="4"/>
        <v>1</v>
      </c>
      <c r="Q24" s="3">
        <f>IF(P24=FALSE,"",IF((Geometry!$B$28*COS(O24)+Geometry!$B$32*SIN(O24)+Geometry!$B$8*Geometry!$B$30*(1-COS(O24)))&gt;=0,1,-1)*ACOS(MAX(-1,MIN(1,(Geometry!$B$27*COS(O24)+Geometry!$B$31*SIN(O24)+Geometry!$B$7*Geometry!$B$30*(1-COS(O24)))/SQRT((Geometry!$B$27*COS(O24)+Geometry!$B$31*SIN(O24)+Geometry!$B$7*Geometry!$B$30*(1-COS(O24)))^2+(Geometry!$B$28*COS(O24)+Geometry!$B$32*SIN(O24)+Geometry!$B$8*Geometry!$B$30*(1-COS(O24)))^2))))*180/PI())</f>
        <v>-15.458731237538212</v>
      </c>
      <c r="R24" s="3">
        <f>IF(NOT(ISNUMBER($A24)),"",Inputs!$B$21+$A24*Inputs!$E$6/SQRT(Inputs!$E$6^2+Inputs!$E$7^2+Inputs!$E$8^2))</f>
        <v>919.87300000000005</v>
      </c>
      <c r="S24" s="3">
        <f>IF(NOT(ISNUMBER($A24)),"",Inputs!$C$21+$A24*Inputs!$E$7/SQRT(Inputs!$E$6^2+Inputs!$E$7^2+Inputs!$E$8^2))</f>
        <v>-295.45400000000001</v>
      </c>
      <c r="T24" s="3">
        <f>IF(NOT(ISNUMBER($A24)),"",Inputs!$D$21+$A24*Inputs!$E$8/SQRT(Inputs!$E$6^2+Inputs!$E$7^2+Inputs!$E$8^2))</f>
        <v>182.18899999999999</v>
      </c>
      <c r="U24" s="3">
        <f>IF(NOT(ISNUMBER($A24)),"",Inputs!$B$19+Geometry!$C$15-R24)</f>
        <v>-24.932661268328502</v>
      </c>
      <c r="V24" s="3">
        <f>IF(NOT(ISNUMBER($A24)),"",Inputs!$C$19+Geometry!$C$16-S24)</f>
        <v>-145.76798447238372</v>
      </c>
      <c r="W24" s="3">
        <f>IF(NOT(ISNUMBER($A24)),"",Inputs!$D$19+Geometry!$C$17-T24)</f>
        <v>11.015351937228701</v>
      </c>
      <c r="X24" s="3">
        <f>IF(NOT(ISNUMBER($A24)),"",2*(U24*Geometry!$C$18+V24*Geometry!$C$19+W24*Geometry!$C$20))</f>
        <v>4397.9784951467318</v>
      </c>
      <c r="Y24" s="3">
        <f>IF(NOT(ISNUMBER($A24)),"",2*(U24*Geometry!$C$21+V24*Geometry!$C$22+W24*Geometry!$C$23))</f>
        <v>-44307.559289741039</v>
      </c>
      <c r="Z24" s="3">
        <f>IF(NOT(ISNUMBER($A24)),"",Geometry!$C$24^2-(U24^2+V24^2+W24^2)-(Geometry!$C$18^2+Geometry!$C$19^2+Geometry!$C$20^2))</f>
        <v>19848.550495146737</v>
      </c>
      <c r="AA24" s="3">
        <f t="shared" si="5"/>
        <v>44525.296462322302</v>
      </c>
      <c r="AB24" s="3">
        <f t="shared" si="6"/>
        <v>0.44578143375064905</v>
      </c>
      <c r="AC24" s="3">
        <f t="shared" si="7"/>
        <v>-1.4718601740547939</v>
      </c>
      <c r="AD24" s="3">
        <f t="shared" si="8"/>
        <v>1.1087492835380579</v>
      </c>
      <c r="AE24" s="3">
        <f>IF(AC24="","",MOD(AC24+Geometry!$C$47*AD24+PI(),2*PI())-PI())</f>
        <v>-0.36311089051673573</v>
      </c>
      <c r="AF24" s="3" t="b">
        <f t="shared" si="9"/>
        <v>1</v>
      </c>
      <c r="AG24" s="3">
        <f>IF(AF24=FALSE,"",IF((Geometry!$C$28*COS(AE24)+Geometry!$C$32*SIN(AE24)+Geometry!$C$8*Geometry!$C$30*(1-COS(AE24)))&gt;=0,1,-1)*ACOS(MAX(-1,MIN(1,(Geometry!$C$27*COS(AE24)+Geometry!$C$31*SIN(AE24)+Geometry!$C$7*Geometry!$C$30*(1-COS(AE24)))/SQRT((Geometry!$C$27*COS(AE24)+Geometry!$C$31*SIN(AE24)+Geometry!$C$7*Geometry!$C$30*(1-COS(AE24)))^2+(Geometry!$C$28*COS(AE24)+Geometry!$C$32*SIN(AE24)+Geometry!$C$8*Geometry!$C$30*(1-COS(AE24)))^2))))*180/PI())</f>
        <v>-20.489888218266518</v>
      </c>
    </row>
    <row r="25" spans="1:33">
      <c r="A25" s="3">
        <f>IF(Inputs!$E$9+23*Inputs!$E$11&lt;=Inputs!$E$10,Inputs!$E$9+23*Inputs!$E$11,"")</f>
        <v>-37</v>
      </c>
      <c r="B25" s="3">
        <f>IF(NOT(ISNUMBER($A25)),"",Inputs!$B$17+$A25*Inputs!$E$6/SQRT(Inputs!$E$6^2+Inputs!$E$7^2+Inputs!$E$8^2))</f>
        <v>919.87300000000005</v>
      </c>
      <c r="C25" s="3">
        <f>IF(NOT(ISNUMBER($A25)),"",Inputs!$C$17+$A25*Inputs!$E$7/SQRT(Inputs!$E$6^2+Inputs!$E$7^2+Inputs!$E$8^2))</f>
        <v>220.45400000000001</v>
      </c>
      <c r="D25" s="3">
        <f>IF(NOT(ISNUMBER($A25)),"",Inputs!$D$17+$A25*Inputs!$E$8/SQRT(Inputs!$E$6^2+Inputs!$E$7^2+Inputs!$E$8^2))</f>
        <v>182.18899999999999</v>
      </c>
      <c r="E25" s="3">
        <f>IF(NOT(ISNUMBER($A25)),"",Inputs!$B$15+Geometry!$B$15-B25)</f>
        <v>-24.932661268328502</v>
      </c>
      <c r="F25" s="3">
        <f>IF(NOT(ISNUMBER($A25)),"",Inputs!$C$15+Geometry!$B$16-C25)</f>
        <v>220.76798447238372</v>
      </c>
      <c r="G25" s="3">
        <f>IF(NOT(ISNUMBER($A25)),"",Inputs!$D$15+Geometry!$B$17-D25)</f>
        <v>11.015351937228701</v>
      </c>
      <c r="H25" s="3">
        <f>IF(NOT(ISNUMBER($A25)),"",2*(E25*Geometry!$B$18+F25*Geometry!$B$19+G25*Geometry!$B$20))</f>
        <v>10177.330824289169</v>
      </c>
      <c r="I25" s="3">
        <f>IF(NOT(ISNUMBER($A25)),"",2*(E25*Geometry!$B$21+F25*Geometry!$B$22+G25*Geometry!$B$23))</f>
        <v>65793.73663062368</v>
      </c>
      <c r="J25" s="3">
        <f>IF(NOT(ISNUMBER($A25)),"",Geometry!$B$24^2-(E25^2+F25^2+G25^2)-(Geometry!$B$18^2+Geometry!$B$19^2+Geometry!$B$20^2))</f>
        <v>-7641.6471757108156</v>
      </c>
      <c r="K25" s="3">
        <f t="shared" si="0"/>
        <v>66576.225805665032</v>
      </c>
      <c r="L25" s="3">
        <f t="shared" si="1"/>
        <v>-0.11478042023614653</v>
      </c>
      <c r="M25" s="3">
        <f t="shared" si="2"/>
        <v>1.4173272550722134</v>
      </c>
      <c r="N25" s="3">
        <f t="shared" si="3"/>
        <v>1.6858302829915413</v>
      </c>
      <c r="O25" s="3">
        <f>IF(M25="","",MOD(M25+Geometry!$B$47*N25+PI(),2*PI())-PI())</f>
        <v>-0.26850302791932812</v>
      </c>
      <c r="P25" s="3" t="b">
        <f t="shared" si="4"/>
        <v>1</v>
      </c>
      <c r="Q25" s="3">
        <f>IF(P25=FALSE,"",IF((Geometry!$B$28*COS(O25)+Geometry!$B$32*SIN(O25)+Geometry!$B$8*Geometry!$B$30*(1-COS(O25)))&gt;=0,1,-1)*ACOS(MAX(-1,MIN(1,(Geometry!$B$27*COS(O25)+Geometry!$B$31*SIN(O25)+Geometry!$B$7*Geometry!$B$30*(1-COS(O25)))/SQRT((Geometry!$B$27*COS(O25)+Geometry!$B$31*SIN(O25)+Geometry!$B$7*Geometry!$B$30*(1-COS(O25)))^2+(Geometry!$B$28*COS(O25)+Geometry!$B$32*SIN(O25)+Geometry!$B$8*Geometry!$B$30*(1-COS(O25)))^2))))*180/PI())</f>
        <v>-15.085799454631243</v>
      </c>
      <c r="R25" s="3">
        <f>IF(NOT(ISNUMBER($A25)),"",Inputs!$B$21+$A25*Inputs!$E$6/SQRT(Inputs!$E$6^2+Inputs!$E$7^2+Inputs!$E$8^2))</f>
        <v>919.87300000000005</v>
      </c>
      <c r="S25" s="3">
        <f>IF(NOT(ISNUMBER($A25)),"",Inputs!$C$21+$A25*Inputs!$E$7/SQRT(Inputs!$E$6^2+Inputs!$E$7^2+Inputs!$E$8^2))</f>
        <v>-294.45400000000001</v>
      </c>
      <c r="T25" s="3">
        <f>IF(NOT(ISNUMBER($A25)),"",Inputs!$D$21+$A25*Inputs!$E$8/SQRT(Inputs!$E$6^2+Inputs!$E$7^2+Inputs!$E$8^2))</f>
        <v>182.18899999999999</v>
      </c>
      <c r="U25" s="3">
        <f>IF(NOT(ISNUMBER($A25)),"",Inputs!$B$19+Geometry!$C$15-R25)</f>
        <v>-24.932661268328502</v>
      </c>
      <c r="V25" s="3">
        <f>IF(NOT(ISNUMBER($A25)),"",Inputs!$C$19+Geometry!$C$16-S25)</f>
        <v>-146.76798447238372</v>
      </c>
      <c r="W25" s="3">
        <f>IF(NOT(ISNUMBER($A25)),"",Inputs!$D$19+Geometry!$C$17-T25)</f>
        <v>11.015351937228701</v>
      </c>
      <c r="X25" s="3">
        <f>IF(NOT(ISNUMBER($A25)),"",2*(U25*Geometry!$C$18+V25*Geometry!$C$19+W25*Geometry!$C$20))</f>
        <v>4475.0365262019641</v>
      </c>
      <c r="Y25" s="3">
        <f>IF(NOT(ISNUMBER($A25)),"",2*(U25*Geometry!$C$21+V25*Geometry!$C$22+W25*Geometry!$C$23))</f>
        <v>-44594.041654286142</v>
      </c>
      <c r="Z25" s="3">
        <f>IF(NOT(ISNUMBER($A25)),"",Geometry!$C$24^2-(U25^2+V25^2+W25^2)-(Geometry!$C$18^2+Geometry!$C$19^2+Geometry!$C$20^2))</f>
        <v>19556.014526201972</v>
      </c>
      <c r="AA25" s="3">
        <f t="shared" si="5"/>
        <v>44818.015384162754</v>
      </c>
      <c r="AB25" s="3">
        <f t="shared" si="6"/>
        <v>0.43634271528034774</v>
      </c>
      <c r="AC25" s="3">
        <f t="shared" si="7"/>
        <v>-1.4707806089435393</v>
      </c>
      <c r="AD25" s="3">
        <f t="shared" si="8"/>
        <v>1.1192663192982559</v>
      </c>
      <c r="AE25" s="3">
        <f>IF(AC25="","",MOD(AC25+Geometry!$C$47*AD25+PI(),2*PI())-PI())</f>
        <v>-0.35151428964528364</v>
      </c>
      <c r="AF25" s="3" t="b">
        <f t="shared" si="9"/>
        <v>1</v>
      </c>
      <c r="AG25" s="3">
        <f>IF(AF25=FALSE,"",IF((Geometry!$C$28*COS(AE25)+Geometry!$C$32*SIN(AE25)+Geometry!$C$8*Geometry!$C$30*(1-COS(AE25)))&gt;=0,1,-1)*ACOS(MAX(-1,MIN(1,(Geometry!$C$27*COS(AE25)+Geometry!$C$31*SIN(AE25)+Geometry!$C$7*Geometry!$C$30*(1-COS(AE25)))/SQRT((Geometry!$C$27*COS(AE25)+Geometry!$C$31*SIN(AE25)+Geometry!$C$7*Geometry!$C$30*(1-COS(AE25)))^2+(Geometry!$C$28*COS(AE25)+Geometry!$C$32*SIN(AE25)+Geometry!$C$8*Geometry!$C$30*(1-COS(AE25)))^2))))*180/PI())</f>
        <v>-19.832823453713928</v>
      </c>
    </row>
    <row r="26" spans="1:33">
      <c r="A26" s="3">
        <f>IF(Inputs!$E$9+24*Inputs!$E$11&lt;=Inputs!$E$10,Inputs!$E$9+24*Inputs!$E$11,"")</f>
        <v>-36</v>
      </c>
      <c r="B26" s="3">
        <f>IF(NOT(ISNUMBER($A26)),"",Inputs!$B$17+$A26*Inputs!$E$6/SQRT(Inputs!$E$6^2+Inputs!$E$7^2+Inputs!$E$8^2))</f>
        <v>919.87300000000005</v>
      </c>
      <c r="C26" s="3">
        <f>IF(NOT(ISNUMBER($A26)),"",Inputs!$C$17+$A26*Inputs!$E$7/SQRT(Inputs!$E$6^2+Inputs!$E$7^2+Inputs!$E$8^2))</f>
        <v>221.45400000000001</v>
      </c>
      <c r="D26" s="3">
        <f>IF(NOT(ISNUMBER($A26)),"",Inputs!$D$17+$A26*Inputs!$E$8/SQRT(Inputs!$E$6^2+Inputs!$E$7^2+Inputs!$E$8^2))</f>
        <v>182.18899999999999</v>
      </c>
      <c r="E26" s="3">
        <f>IF(NOT(ISNUMBER($A26)),"",Inputs!$B$15+Geometry!$B$15-B26)</f>
        <v>-24.932661268328502</v>
      </c>
      <c r="F26" s="3">
        <f>IF(NOT(ISNUMBER($A26)),"",Inputs!$C$15+Geometry!$B$16-C26)</f>
        <v>219.76798447238372</v>
      </c>
      <c r="G26" s="3">
        <f>IF(NOT(ISNUMBER($A26)),"",Inputs!$D$15+Geometry!$B$17-D26)</f>
        <v>11.015351937228701</v>
      </c>
      <c r="H26" s="3">
        <f>IF(NOT(ISNUMBER($A26)),"",2*(E26*Geometry!$B$18+F26*Geometry!$B$19+G26*Geometry!$B$20))</f>
        <v>10100.272793233937</v>
      </c>
      <c r="I26" s="3">
        <f>IF(NOT(ISNUMBER($A26)),"",2*(E26*Geometry!$B$21+F26*Geometry!$B$22+G26*Geometry!$B$23))</f>
        <v>65507.254266078569</v>
      </c>
      <c r="J26" s="3">
        <f>IF(NOT(ISNUMBER($A26)),"",Geometry!$B$24^2-(E26^2+F26^2+G26^2)-(Geometry!$B$18^2+Geometry!$B$19^2+Geometry!$B$20^2))</f>
        <v>-7201.1112067660506</v>
      </c>
      <c r="K26" s="3">
        <f t="shared" si="0"/>
        <v>66281.338791385395</v>
      </c>
      <c r="L26" s="3">
        <f t="shared" si="1"/>
        <v>-0.10864462513997954</v>
      </c>
      <c r="M26" s="3">
        <f t="shared" si="2"/>
        <v>1.417815455068139</v>
      </c>
      <c r="N26" s="3">
        <f t="shared" si="3"/>
        <v>1.6796558291923773</v>
      </c>
      <c r="O26" s="3">
        <f>IF(M26="","",MOD(M26+Geometry!$B$47*N26+PI(),2*PI())-PI())</f>
        <v>-0.26184037412423855</v>
      </c>
      <c r="P26" s="3" t="b">
        <f t="shared" si="4"/>
        <v>1</v>
      </c>
      <c r="Q26" s="3">
        <f>IF(P26=FALSE,"",IF((Geometry!$B$28*COS(O26)+Geometry!$B$32*SIN(O26)+Geometry!$B$8*Geometry!$B$30*(1-COS(O26)))&gt;=0,1,-1)*ACOS(MAX(-1,MIN(1,(Geometry!$B$27*COS(O26)+Geometry!$B$31*SIN(O26)+Geometry!$B$7*Geometry!$B$30*(1-COS(O26)))/SQRT((Geometry!$B$27*COS(O26)+Geometry!$B$31*SIN(O26)+Geometry!$B$7*Geometry!$B$30*(1-COS(O26)))^2+(Geometry!$B$28*COS(O26)+Geometry!$B$32*SIN(O26)+Geometry!$B$8*Geometry!$B$30*(1-COS(O26)))^2))))*180/PI())</f>
        <v>-14.711515164449178</v>
      </c>
      <c r="R26" s="3">
        <f>IF(NOT(ISNUMBER($A26)),"",Inputs!$B$21+$A26*Inputs!$E$6/SQRT(Inputs!$E$6^2+Inputs!$E$7^2+Inputs!$E$8^2))</f>
        <v>919.87300000000005</v>
      </c>
      <c r="S26" s="3">
        <f>IF(NOT(ISNUMBER($A26)),"",Inputs!$C$21+$A26*Inputs!$E$7/SQRT(Inputs!$E$6^2+Inputs!$E$7^2+Inputs!$E$8^2))</f>
        <v>-293.45400000000001</v>
      </c>
      <c r="T26" s="3">
        <f>IF(NOT(ISNUMBER($A26)),"",Inputs!$D$21+$A26*Inputs!$E$8/SQRT(Inputs!$E$6^2+Inputs!$E$7^2+Inputs!$E$8^2))</f>
        <v>182.18899999999999</v>
      </c>
      <c r="U26" s="3">
        <f>IF(NOT(ISNUMBER($A26)),"",Inputs!$B$19+Geometry!$C$15-R26)</f>
        <v>-24.932661268328502</v>
      </c>
      <c r="V26" s="3">
        <f>IF(NOT(ISNUMBER($A26)),"",Inputs!$C$19+Geometry!$C$16-S26)</f>
        <v>-147.76798447238372</v>
      </c>
      <c r="W26" s="3">
        <f>IF(NOT(ISNUMBER($A26)),"",Inputs!$D$19+Geometry!$C$17-T26)</f>
        <v>11.015351937228701</v>
      </c>
      <c r="X26" s="3">
        <f>IF(NOT(ISNUMBER($A26)),"",2*(U26*Geometry!$C$18+V26*Geometry!$C$19+W26*Geometry!$C$20))</f>
        <v>4552.0945572571964</v>
      </c>
      <c r="Y26" s="3">
        <f>IF(NOT(ISNUMBER($A26)),"",2*(U26*Geometry!$C$21+V26*Geometry!$C$22+W26*Geometry!$C$23))</f>
        <v>-44880.524018831245</v>
      </c>
      <c r="Z26" s="3">
        <f>IF(NOT(ISNUMBER($A26)),"",Geometry!$C$24^2-(U26^2+V26^2+W26^2)-(Geometry!$C$18^2+Geometry!$C$19^2+Geometry!$C$20^2))</f>
        <v>19261.4785572572</v>
      </c>
      <c r="AA26" s="3">
        <f t="shared" si="5"/>
        <v>45110.785861732656</v>
      </c>
      <c r="AB26" s="3">
        <f t="shared" si="6"/>
        <v>0.42698166722909286</v>
      </c>
      <c r="AC26" s="3">
        <f t="shared" si="7"/>
        <v>-1.4697150554296743</v>
      </c>
      <c r="AD26" s="3">
        <f t="shared" si="8"/>
        <v>1.1296440933327578</v>
      </c>
      <c r="AE26" s="3">
        <f>IF(AC26="","",MOD(AC26+Geometry!$C$47*AD26+PI(),2*PI())-PI())</f>
        <v>-0.34007096209691667</v>
      </c>
      <c r="AF26" s="3" t="b">
        <f t="shared" si="9"/>
        <v>1</v>
      </c>
      <c r="AG26" s="3">
        <f>IF(AF26=FALSE,"",IF((Geometry!$C$28*COS(AE26)+Geometry!$C$32*SIN(AE26)+Geometry!$C$8*Geometry!$C$30*(1-COS(AE26)))&gt;=0,1,-1)*ACOS(MAX(-1,MIN(1,(Geometry!$C$27*COS(AE26)+Geometry!$C$31*SIN(AE26)+Geometry!$C$7*Geometry!$C$30*(1-COS(AE26)))/SQRT((Geometry!$C$27*COS(AE26)+Geometry!$C$31*SIN(AE26)+Geometry!$C$7*Geometry!$C$30*(1-COS(AE26)))^2+(Geometry!$C$28*COS(AE26)+Geometry!$C$32*SIN(AE26)+Geometry!$C$8*Geometry!$C$30*(1-COS(AE26)))^2))))*180/PI())</f>
        <v>-19.184642048019121</v>
      </c>
    </row>
    <row r="27" spans="1:33">
      <c r="A27" s="3">
        <f>IF(Inputs!$E$9+25*Inputs!$E$11&lt;=Inputs!$E$10,Inputs!$E$9+25*Inputs!$E$11,"")</f>
        <v>-35</v>
      </c>
      <c r="B27" s="3">
        <f>IF(NOT(ISNUMBER($A27)),"",Inputs!$B$17+$A27*Inputs!$E$6/SQRT(Inputs!$E$6^2+Inputs!$E$7^2+Inputs!$E$8^2))</f>
        <v>919.87300000000005</v>
      </c>
      <c r="C27" s="3">
        <f>IF(NOT(ISNUMBER($A27)),"",Inputs!$C$17+$A27*Inputs!$E$7/SQRT(Inputs!$E$6^2+Inputs!$E$7^2+Inputs!$E$8^2))</f>
        <v>222.45400000000001</v>
      </c>
      <c r="D27" s="3">
        <f>IF(NOT(ISNUMBER($A27)),"",Inputs!$D$17+$A27*Inputs!$E$8/SQRT(Inputs!$E$6^2+Inputs!$E$7^2+Inputs!$E$8^2))</f>
        <v>182.18899999999999</v>
      </c>
      <c r="E27" s="3">
        <f>IF(NOT(ISNUMBER($A27)),"",Inputs!$B$15+Geometry!$B$15-B27)</f>
        <v>-24.932661268328502</v>
      </c>
      <c r="F27" s="3">
        <f>IF(NOT(ISNUMBER($A27)),"",Inputs!$C$15+Geometry!$B$16-C27)</f>
        <v>218.76798447238372</v>
      </c>
      <c r="G27" s="3">
        <f>IF(NOT(ISNUMBER($A27)),"",Inputs!$D$15+Geometry!$B$17-D27)</f>
        <v>11.015351937228701</v>
      </c>
      <c r="H27" s="3">
        <f>IF(NOT(ISNUMBER($A27)),"",2*(E27*Geometry!$B$18+F27*Geometry!$B$19+G27*Geometry!$B$20))</f>
        <v>10023.214762178704</v>
      </c>
      <c r="I27" s="3">
        <f>IF(NOT(ISNUMBER($A27)),"",2*(E27*Geometry!$B$21+F27*Geometry!$B$22+G27*Geometry!$B$23))</f>
        <v>65220.771901533466</v>
      </c>
      <c r="J27" s="3">
        <f>IF(NOT(ISNUMBER($A27)),"",Geometry!$B$24^2-(E27^2+F27^2+G27^2)-(Geometry!$B$18^2+Geometry!$B$19^2+Geometry!$B$20^2))</f>
        <v>-6762.5752378212856</v>
      </c>
      <c r="K27" s="3">
        <f t="shared" si="0"/>
        <v>65986.467715741644</v>
      </c>
      <c r="L27" s="3">
        <f t="shared" si="1"/>
        <v>-0.10248427400225903</v>
      </c>
      <c r="M27" s="3">
        <f t="shared" si="2"/>
        <v>1.4183080183817303</v>
      </c>
      <c r="N27" s="3">
        <f t="shared" si="3"/>
        <v>1.6734608532145665</v>
      </c>
      <c r="O27" s="3">
        <f>IF(M27="","",MOD(M27+Geometry!$B$47*N27+PI(),2*PI())-PI())</f>
        <v>-0.25515283483283646</v>
      </c>
      <c r="P27" s="3" t="b">
        <f t="shared" si="4"/>
        <v>1</v>
      </c>
      <c r="Q27" s="3">
        <f>IF(P27=FALSE,"",IF((Geometry!$B$28*COS(O27)+Geometry!$B$32*SIN(O27)+Geometry!$B$8*Geometry!$B$30*(1-COS(O27)))&gt;=0,1,-1)*ACOS(MAX(-1,MIN(1,(Geometry!$B$27*COS(O27)+Geometry!$B$31*SIN(O27)+Geometry!$B$7*Geometry!$B$30*(1-COS(O27)))/SQRT((Geometry!$B$27*COS(O27)+Geometry!$B$31*SIN(O27)+Geometry!$B$7*Geometry!$B$30*(1-COS(O27)))^2+(Geometry!$B$28*COS(O27)+Geometry!$B$32*SIN(O27)+Geometry!$B$8*Geometry!$B$30*(1-COS(O27)))^2))))*180/PI())</f>
        <v>-14.335845073548183</v>
      </c>
      <c r="R27" s="3">
        <f>IF(NOT(ISNUMBER($A27)),"",Inputs!$B$21+$A27*Inputs!$E$6/SQRT(Inputs!$E$6^2+Inputs!$E$7^2+Inputs!$E$8^2))</f>
        <v>919.87300000000005</v>
      </c>
      <c r="S27" s="3">
        <f>IF(NOT(ISNUMBER($A27)),"",Inputs!$C$21+$A27*Inputs!$E$7/SQRT(Inputs!$E$6^2+Inputs!$E$7^2+Inputs!$E$8^2))</f>
        <v>-292.45400000000001</v>
      </c>
      <c r="T27" s="3">
        <f>IF(NOT(ISNUMBER($A27)),"",Inputs!$D$21+$A27*Inputs!$E$8/SQRT(Inputs!$E$6^2+Inputs!$E$7^2+Inputs!$E$8^2))</f>
        <v>182.18899999999999</v>
      </c>
      <c r="U27" s="3">
        <f>IF(NOT(ISNUMBER($A27)),"",Inputs!$B$19+Geometry!$C$15-R27)</f>
        <v>-24.932661268328502</v>
      </c>
      <c r="V27" s="3">
        <f>IF(NOT(ISNUMBER($A27)),"",Inputs!$C$19+Geometry!$C$16-S27)</f>
        <v>-148.76798447238372</v>
      </c>
      <c r="W27" s="3">
        <f>IF(NOT(ISNUMBER($A27)),"",Inputs!$D$19+Geometry!$C$17-T27)</f>
        <v>11.015351937228701</v>
      </c>
      <c r="X27" s="3">
        <f>IF(NOT(ISNUMBER($A27)),"",2*(U27*Geometry!$C$18+V27*Geometry!$C$19+W27*Geometry!$C$20))</f>
        <v>4629.1525883124286</v>
      </c>
      <c r="Y27" s="3">
        <f>IF(NOT(ISNUMBER($A27)),"",2*(U27*Geometry!$C$21+V27*Geometry!$C$22+W27*Geometry!$C$23))</f>
        <v>-45167.006383376349</v>
      </c>
      <c r="Z27" s="3">
        <f>IF(NOT(ISNUMBER($A27)),"",Geometry!$C$24^2-(U27^2+V27^2+W27^2)-(Geometry!$C$18^2+Geometry!$C$19^2+Geometry!$C$20^2))</f>
        <v>18964.942588312435</v>
      </c>
      <c r="AA27" s="3">
        <f t="shared" si="5"/>
        <v>45403.606897710662</v>
      </c>
      <c r="AB27" s="3">
        <f t="shared" si="6"/>
        <v>0.41769682816253711</v>
      </c>
      <c r="AC27" s="3">
        <f t="shared" si="7"/>
        <v>-1.4686632448620018</v>
      </c>
      <c r="AD27" s="3">
        <f t="shared" si="8"/>
        <v>1.1398873837989851</v>
      </c>
      <c r="AE27" s="3">
        <f>IF(AC27="","",MOD(AC27+Geometry!$C$47*AD27+PI(),2*PI())-PI())</f>
        <v>-0.32877586106301671</v>
      </c>
      <c r="AF27" s="3" t="b">
        <f t="shared" si="9"/>
        <v>1</v>
      </c>
      <c r="AG27" s="3">
        <f>IF(AF27=FALSE,"",IF((Geometry!$C$28*COS(AE27)+Geometry!$C$32*SIN(AE27)+Geometry!$C$8*Geometry!$C$30*(1-COS(AE27)))&gt;=0,1,-1)*ACOS(MAX(-1,MIN(1,(Geometry!$C$27*COS(AE27)+Geometry!$C$31*SIN(AE27)+Geometry!$C$7*Geometry!$C$30*(1-COS(AE27)))/SQRT((Geometry!$C$27*COS(AE27)+Geometry!$C$31*SIN(AE27)+Geometry!$C$7*Geometry!$C$30*(1-COS(AE27)))^2+(Geometry!$C$28*COS(AE27)+Geometry!$C$32*SIN(AE27)+Geometry!$C$8*Geometry!$C$30*(1-COS(AE27)))^2))))*180/PI())</f>
        <v>-18.545048693576856</v>
      </c>
    </row>
    <row r="28" spans="1:33">
      <c r="A28" s="3">
        <f>IF(Inputs!$E$9+26*Inputs!$E$11&lt;=Inputs!$E$10,Inputs!$E$9+26*Inputs!$E$11,"")</f>
        <v>-34</v>
      </c>
      <c r="B28" s="3">
        <f>IF(NOT(ISNUMBER($A28)),"",Inputs!$B$17+$A28*Inputs!$E$6/SQRT(Inputs!$E$6^2+Inputs!$E$7^2+Inputs!$E$8^2))</f>
        <v>919.87300000000005</v>
      </c>
      <c r="C28" s="3">
        <f>IF(NOT(ISNUMBER($A28)),"",Inputs!$C$17+$A28*Inputs!$E$7/SQRT(Inputs!$E$6^2+Inputs!$E$7^2+Inputs!$E$8^2))</f>
        <v>223.45400000000001</v>
      </c>
      <c r="D28" s="3">
        <f>IF(NOT(ISNUMBER($A28)),"",Inputs!$D$17+$A28*Inputs!$E$8/SQRT(Inputs!$E$6^2+Inputs!$E$7^2+Inputs!$E$8^2))</f>
        <v>182.18899999999999</v>
      </c>
      <c r="E28" s="3">
        <f>IF(NOT(ISNUMBER($A28)),"",Inputs!$B$15+Geometry!$B$15-B28)</f>
        <v>-24.932661268328502</v>
      </c>
      <c r="F28" s="3">
        <f>IF(NOT(ISNUMBER($A28)),"",Inputs!$C$15+Geometry!$B$16-C28)</f>
        <v>217.76798447238372</v>
      </c>
      <c r="G28" s="3">
        <f>IF(NOT(ISNUMBER($A28)),"",Inputs!$D$15+Geometry!$B$17-D28)</f>
        <v>11.015351937228701</v>
      </c>
      <c r="H28" s="3">
        <f>IF(NOT(ISNUMBER($A28)),"",2*(E28*Geometry!$B$18+F28*Geometry!$B$19+G28*Geometry!$B$20))</f>
        <v>9946.1567311234721</v>
      </c>
      <c r="I28" s="3">
        <f>IF(NOT(ISNUMBER($A28)),"",2*(E28*Geometry!$B$21+F28*Geometry!$B$22+G28*Geometry!$B$23))</f>
        <v>64934.28953698837</v>
      </c>
      <c r="J28" s="3">
        <f>IF(NOT(ISNUMBER($A28)),"",Geometry!$B$24^2-(E28^2+F28^2+G28^2)-(Geometry!$B$18^2+Geometry!$B$19^2+Geometry!$B$20^2))</f>
        <v>-6326.0392688765132</v>
      </c>
      <c r="K28" s="3">
        <f t="shared" si="0"/>
        <v>65691.612793365872</v>
      </c>
      <c r="L28" s="3">
        <f t="shared" si="1"/>
        <v>-9.6299040316991172E-2</v>
      </c>
      <c r="M28" s="3">
        <f t="shared" si="2"/>
        <v>1.4188050035294517</v>
      </c>
      <c r="N28" s="3">
        <f t="shared" si="3"/>
        <v>1.6672448299504585</v>
      </c>
      <c r="O28" s="3">
        <f>IF(M28="","",MOD(M28+Geometry!$B$47*N28+PI(),2*PI())-PI())</f>
        <v>-0.24843982642100659</v>
      </c>
      <c r="P28" s="3" t="b">
        <f t="shared" si="4"/>
        <v>1</v>
      </c>
      <c r="Q28" s="3">
        <f>IF(P28=FALSE,"",IF((Geometry!$B$28*COS(O28)+Geometry!$B$32*SIN(O28)+Geometry!$B$8*Geometry!$B$30*(1-COS(O28)))&gt;=0,1,-1)*ACOS(MAX(-1,MIN(1,(Geometry!$B$27*COS(O28)+Geometry!$B$31*SIN(O28)+Geometry!$B$7*Geometry!$B$30*(1-COS(O28)))/SQRT((Geometry!$B$27*COS(O28)+Geometry!$B$31*SIN(O28)+Geometry!$B$7*Geometry!$B$30*(1-COS(O28)))^2+(Geometry!$B$28*COS(O28)+Geometry!$B$32*SIN(O28)+Geometry!$B$8*Geometry!$B$30*(1-COS(O28)))^2))))*180/PI())</f>
        <v>-13.958755304863567</v>
      </c>
      <c r="R28" s="3">
        <f>IF(NOT(ISNUMBER($A28)),"",Inputs!$B$21+$A28*Inputs!$E$6/SQRT(Inputs!$E$6^2+Inputs!$E$7^2+Inputs!$E$8^2))</f>
        <v>919.87300000000005</v>
      </c>
      <c r="S28" s="3">
        <f>IF(NOT(ISNUMBER($A28)),"",Inputs!$C$21+$A28*Inputs!$E$7/SQRT(Inputs!$E$6^2+Inputs!$E$7^2+Inputs!$E$8^2))</f>
        <v>-291.45400000000001</v>
      </c>
      <c r="T28" s="3">
        <f>IF(NOT(ISNUMBER($A28)),"",Inputs!$D$21+$A28*Inputs!$E$8/SQRT(Inputs!$E$6^2+Inputs!$E$7^2+Inputs!$E$8^2))</f>
        <v>182.18899999999999</v>
      </c>
      <c r="U28" s="3">
        <f>IF(NOT(ISNUMBER($A28)),"",Inputs!$B$19+Geometry!$C$15-R28)</f>
        <v>-24.932661268328502</v>
      </c>
      <c r="V28" s="3">
        <f>IF(NOT(ISNUMBER($A28)),"",Inputs!$C$19+Geometry!$C$16-S28)</f>
        <v>-149.76798447238372</v>
      </c>
      <c r="W28" s="3">
        <f>IF(NOT(ISNUMBER($A28)),"",Inputs!$D$19+Geometry!$C$17-T28)</f>
        <v>11.015351937228701</v>
      </c>
      <c r="X28" s="3">
        <f>IF(NOT(ISNUMBER($A28)),"",2*(U28*Geometry!$C$18+V28*Geometry!$C$19+W28*Geometry!$C$20))</f>
        <v>4706.2106193676609</v>
      </c>
      <c r="Y28" s="3">
        <f>IF(NOT(ISNUMBER($A28)),"",2*(U28*Geometry!$C$21+V28*Geometry!$C$22+W28*Geometry!$C$23))</f>
        <v>-45453.488747921445</v>
      </c>
      <c r="Z28" s="3">
        <f>IF(NOT(ISNUMBER($A28)),"",Geometry!$C$24^2-(U28^2+V28^2+W28^2)-(Geometry!$C$18^2+Geometry!$C$19^2+Geometry!$C$20^2))</f>
        <v>18666.40661936767</v>
      </c>
      <c r="AA28" s="3">
        <f t="shared" si="5"/>
        <v>45696.477520168555</v>
      </c>
      <c r="AB28" s="3">
        <f t="shared" si="6"/>
        <v>0.40848677255547938</v>
      </c>
      <c r="AC28" s="3">
        <f t="shared" si="7"/>
        <v>-1.4676249153530894</v>
      </c>
      <c r="AD28" s="3">
        <f t="shared" si="8"/>
        <v>1.1500007322030799</v>
      </c>
      <c r="AE28" s="3">
        <f>IF(AC28="","",MOD(AC28+Geometry!$C$47*AD28+PI(),2*PI())-PI())</f>
        <v>-0.31762418315000929</v>
      </c>
      <c r="AF28" s="3" t="b">
        <f t="shared" si="9"/>
        <v>1</v>
      </c>
      <c r="AG28" s="3">
        <f>IF(AF28=FALSE,"",IF((Geometry!$C$28*COS(AE28)+Geometry!$C$32*SIN(AE28)+Geometry!$C$8*Geometry!$C$30*(1-COS(AE28)))&gt;=0,1,-1)*ACOS(MAX(-1,MIN(1,(Geometry!$C$27*COS(AE28)+Geometry!$C$31*SIN(AE28)+Geometry!$C$7*Geometry!$C$30*(1-COS(AE28)))/SQRT((Geometry!$C$27*COS(AE28)+Geometry!$C$31*SIN(AE28)+Geometry!$C$7*Geometry!$C$30*(1-COS(AE28)))^2+(Geometry!$C$28*COS(AE28)+Geometry!$C$32*SIN(AE28)+Geometry!$C$8*Geometry!$C$30*(1-COS(AE28)))^2))))*180/PI())</f>
        <v>-17.913762310431675</v>
      </c>
    </row>
    <row r="29" spans="1:33">
      <c r="A29" s="3">
        <f>IF(Inputs!$E$9+27*Inputs!$E$11&lt;=Inputs!$E$10,Inputs!$E$9+27*Inputs!$E$11,"")</f>
        <v>-33</v>
      </c>
      <c r="B29" s="3">
        <f>IF(NOT(ISNUMBER($A29)),"",Inputs!$B$17+$A29*Inputs!$E$6/SQRT(Inputs!$E$6^2+Inputs!$E$7^2+Inputs!$E$8^2))</f>
        <v>919.87300000000005</v>
      </c>
      <c r="C29" s="3">
        <f>IF(NOT(ISNUMBER($A29)),"",Inputs!$C$17+$A29*Inputs!$E$7/SQRT(Inputs!$E$6^2+Inputs!$E$7^2+Inputs!$E$8^2))</f>
        <v>224.45400000000001</v>
      </c>
      <c r="D29" s="3">
        <f>IF(NOT(ISNUMBER($A29)),"",Inputs!$D$17+$A29*Inputs!$E$8/SQRT(Inputs!$E$6^2+Inputs!$E$7^2+Inputs!$E$8^2))</f>
        <v>182.18899999999999</v>
      </c>
      <c r="E29" s="3">
        <f>IF(NOT(ISNUMBER($A29)),"",Inputs!$B$15+Geometry!$B$15-B29)</f>
        <v>-24.932661268328502</v>
      </c>
      <c r="F29" s="3">
        <f>IF(NOT(ISNUMBER($A29)),"",Inputs!$C$15+Geometry!$B$16-C29)</f>
        <v>216.76798447238372</v>
      </c>
      <c r="G29" s="3">
        <f>IF(NOT(ISNUMBER($A29)),"",Inputs!$D$15+Geometry!$B$17-D29)</f>
        <v>11.015351937228701</v>
      </c>
      <c r="H29" s="3">
        <f>IF(NOT(ISNUMBER($A29)),"",2*(E29*Geometry!$B$18+F29*Geometry!$B$19+G29*Geometry!$B$20))</f>
        <v>9869.0987000682399</v>
      </c>
      <c r="I29" s="3">
        <f>IF(NOT(ISNUMBER($A29)),"",2*(E29*Geometry!$B$21+F29*Geometry!$B$22+G29*Geometry!$B$23))</f>
        <v>64647.807172443267</v>
      </c>
      <c r="J29" s="3">
        <f>IF(NOT(ISNUMBER($A29)),"",Geometry!$B$24^2-(E29^2+F29^2+G29^2)-(Geometry!$B$18^2+Geometry!$B$19^2+Geometry!$B$20^2))</f>
        <v>-5891.5032999317482</v>
      </c>
      <c r="K29" s="3">
        <f t="shared" si="0"/>
        <v>65396.774242749125</v>
      </c>
      <c r="L29" s="3">
        <f t="shared" si="1"/>
        <v>-9.0088591802140294E-2</v>
      </c>
      <c r="M29" s="3">
        <f t="shared" si="2"/>
        <v>1.4193064700743925</v>
      </c>
      <c r="N29" s="3">
        <f t="shared" si="3"/>
        <v>1.6610072249605774</v>
      </c>
      <c r="O29" s="3">
        <f>IF(M29="","",MOD(M29+Geometry!$B$47*N29+PI(),2*PI())-PI())</f>
        <v>-0.24170075488618492</v>
      </c>
      <c r="P29" s="3" t="b">
        <f t="shared" si="4"/>
        <v>1</v>
      </c>
      <c r="Q29" s="3">
        <f>IF(P29=FALSE,"",IF((Geometry!$B$28*COS(O29)+Geometry!$B$32*SIN(O29)+Geometry!$B$8*Geometry!$B$30*(1-COS(O29)))&gt;=0,1,-1)*ACOS(MAX(-1,MIN(1,(Geometry!$B$27*COS(O29)+Geometry!$B$31*SIN(O29)+Geometry!$B$7*Geometry!$B$30*(1-COS(O29)))/SQRT((Geometry!$B$27*COS(O29)+Geometry!$B$31*SIN(O29)+Geometry!$B$7*Geometry!$B$30*(1-COS(O29)))^2+(Geometry!$B$28*COS(O29)+Geometry!$B$32*SIN(O29)+Geometry!$B$8*Geometry!$B$30*(1-COS(O29)))^2))))*180/PI())</f>
        <v>-13.580211377489961</v>
      </c>
      <c r="R29" s="3">
        <f>IF(NOT(ISNUMBER($A29)),"",Inputs!$B$21+$A29*Inputs!$E$6/SQRT(Inputs!$E$6^2+Inputs!$E$7^2+Inputs!$E$8^2))</f>
        <v>919.87300000000005</v>
      </c>
      <c r="S29" s="3">
        <f>IF(NOT(ISNUMBER($A29)),"",Inputs!$C$21+$A29*Inputs!$E$7/SQRT(Inputs!$E$6^2+Inputs!$E$7^2+Inputs!$E$8^2))</f>
        <v>-290.45400000000001</v>
      </c>
      <c r="T29" s="3">
        <f>IF(NOT(ISNUMBER($A29)),"",Inputs!$D$21+$A29*Inputs!$E$8/SQRT(Inputs!$E$6^2+Inputs!$E$7^2+Inputs!$E$8^2))</f>
        <v>182.18899999999999</v>
      </c>
      <c r="U29" s="3">
        <f>IF(NOT(ISNUMBER($A29)),"",Inputs!$B$19+Geometry!$C$15-R29)</f>
        <v>-24.932661268328502</v>
      </c>
      <c r="V29" s="3">
        <f>IF(NOT(ISNUMBER($A29)),"",Inputs!$C$19+Geometry!$C$16-S29)</f>
        <v>-150.76798447238372</v>
      </c>
      <c r="W29" s="3">
        <f>IF(NOT(ISNUMBER($A29)),"",Inputs!$D$19+Geometry!$C$17-T29)</f>
        <v>11.015351937228701</v>
      </c>
      <c r="X29" s="3">
        <f>IF(NOT(ISNUMBER($A29)),"",2*(U29*Geometry!$C$18+V29*Geometry!$C$19+W29*Geometry!$C$20))</f>
        <v>4783.2686504228932</v>
      </c>
      <c r="Y29" s="3">
        <f>IF(NOT(ISNUMBER($A29)),"",2*(U29*Geometry!$C$21+V29*Geometry!$C$22+W29*Geometry!$C$23))</f>
        <v>-45739.971112466548</v>
      </c>
      <c r="Z29" s="3">
        <f>IF(NOT(ISNUMBER($A29)),"",Geometry!$C$24^2-(U29^2+V29^2+W29^2)-(Geometry!$C$18^2+Geometry!$C$19^2+Geometry!$C$20^2))</f>
        <v>18365.870650422905</v>
      </c>
      <c r="AA29" s="3">
        <f t="shared" si="5"/>
        <v>45989.396781773437</v>
      </c>
      <c r="AB29" s="3">
        <f t="shared" si="6"/>
        <v>0.39935010971271717</v>
      </c>
      <c r="AC29" s="3">
        <f t="shared" si="7"/>
        <v>-1.4665998115696623</v>
      </c>
      <c r="AD29" s="3">
        <f t="shared" si="8"/>
        <v>1.1599884595362564</v>
      </c>
      <c r="AE29" s="3">
        <f>IF(AC29="","",MOD(AC29+Geometry!$C$47*AD29+PI(),2*PI())-PI())</f>
        <v>-0.30661135203340617</v>
      </c>
      <c r="AF29" s="3" t="b">
        <f t="shared" si="9"/>
        <v>1</v>
      </c>
      <c r="AG29" s="3">
        <f>IF(AF29=FALSE,"",IF((Geometry!$C$28*COS(AE29)+Geometry!$C$32*SIN(AE29)+Geometry!$C$8*Geometry!$C$30*(1-COS(AE29)))&gt;=0,1,-1)*ACOS(MAX(-1,MIN(1,(Geometry!$C$27*COS(AE29)+Geometry!$C$31*SIN(AE29)+Geometry!$C$7*Geometry!$C$30*(1-COS(AE29)))/SQRT((Geometry!$C$27*COS(AE29)+Geometry!$C$31*SIN(AE29)+Geometry!$C$7*Geometry!$C$30*(1-COS(AE29)))^2+(Geometry!$C$28*COS(AE29)+Geometry!$C$32*SIN(AE29)+Geometry!$C$8*Geometry!$C$30*(1-COS(AE29)))^2))))*180/PI())</f>
        <v>-17.290515095184379</v>
      </c>
    </row>
    <row r="30" spans="1:33">
      <c r="A30" s="3">
        <f>IF(Inputs!$E$9+28*Inputs!$E$11&lt;=Inputs!$E$10,Inputs!$E$9+28*Inputs!$E$11,"")</f>
        <v>-32</v>
      </c>
      <c r="B30" s="3">
        <f>IF(NOT(ISNUMBER($A30)),"",Inputs!$B$17+$A30*Inputs!$E$6/SQRT(Inputs!$E$6^2+Inputs!$E$7^2+Inputs!$E$8^2))</f>
        <v>919.87300000000005</v>
      </c>
      <c r="C30" s="3">
        <f>IF(NOT(ISNUMBER($A30)),"",Inputs!$C$17+$A30*Inputs!$E$7/SQRT(Inputs!$E$6^2+Inputs!$E$7^2+Inputs!$E$8^2))</f>
        <v>225.45400000000001</v>
      </c>
      <c r="D30" s="3">
        <f>IF(NOT(ISNUMBER($A30)),"",Inputs!$D$17+$A30*Inputs!$E$8/SQRT(Inputs!$E$6^2+Inputs!$E$7^2+Inputs!$E$8^2))</f>
        <v>182.18899999999999</v>
      </c>
      <c r="E30" s="3">
        <f>IF(NOT(ISNUMBER($A30)),"",Inputs!$B$15+Geometry!$B$15-B30)</f>
        <v>-24.932661268328502</v>
      </c>
      <c r="F30" s="3">
        <f>IF(NOT(ISNUMBER($A30)),"",Inputs!$C$15+Geometry!$B$16-C30)</f>
        <v>215.76798447238372</v>
      </c>
      <c r="G30" s="3">
        <f>IF(NOT(ISNUMBER($A30)),"",Inputs!$D$15+Geometry!$B$17-D30)</f>
        <v>11.015351937228701</v>
      </c>
      <c r="H30" s="3">
        <f>IF(NOT(ISNUMBER($A30)),"",2*(E30*Geometry!$B$18+F30*Geometry!$B$19+G30*Geometry!$B$20))</f>
        <v>9792.0406690130076</v>
      </c>
      <c r="I30" s="3">
        <f>IF(NOT(ISNUMBER($A30)),"",2*(E30*Geometry!$B$21+F30*Geometry!$B$22+G30*Geometry!$B$23))</f>
        <v>64361.324807898163</v>
      </c>
      <c r="J30" s="3">
        <f>IF(NOT(ISNUMBER($A30)),"",Geometry!$B$24^2-(E30^2+F30^2+G30^2)-(Geometry!$B$18^2+Geometry!$B$19^2+Geometry!$B$20^2))</f>
        <v>-5458.9673309869831</v>
      </c>
      <c r="K30" s="3">
        <f t="shared" si="0"/>
        <v>65101.952286328349</v>
      </c>
      <c r="L30" s="3">
        <f t="shared" si="1"/>
        <v>-8.38525902722181E-2</v>
      </c>
      <c r="M30" s="3">
        <f t="shared" si="2"/>
        <v>1.41981247864967</v>
      </c>
      <c r="N30" s="3">
        <f t="shared" si="3"/>
        <v>1.6547474941416682</v>
      </c>
      <c r="O30" s="3">
        <f>IF(M30="","",MOD(M30+Geometry!$B$47*N30+PI(),2*PI())-PI())</f>
        <v>-0.23493501549199802</v>
      </c>
      <c r="P30" s="3" t="b">
        <f t="shared" si="4"/>
        <v>1</v>
      </c>
      <c r="Q30" s="3">
        <f>IF(P30=FALSE,"",IF((Geometry!$B$28*COS(O30)+Geometry!$B$32*SIN(O30)+Geometry!$B$8*Geometry!$B$30*(1-COS(O30)))&gt;=0,1,-1)*ACOS(MAX(-1,MIN(1,(Geometry!$B$27*COS(O30)+Geometry!$B$31*SIN(O30)+Geometry!$B$7*Geometry!$B$30*(1-COS(O30)))/SQRT((Geometry!$B$27*COS(O30)+Geometry!$B$31*SIN(O30)+Geometry!$B$7*Geometry!$B$30*(1-COS(O30)))^2+(Geometry!$B$28*COS(O30)+Geometry!$B$32*SIN(O30)+Geometry!$B$8*Geometry!$B$30*(1-COS(O30)))^2))))*180/PI())</f>
        <v>-13.200178185777748</v>
      </c>
      <c r="R30" s="3">
        <f>IF(NOT(ISNUMBER($A30)),"",Inputs!$B$21+$A30*Inputs!$E$6/SQRT(Inputs!$E$6^2+Inputs!$E$7^2+Inputs!$E$8^2))</f>
        <v>919.87300000000005</v>
      </c>
      <c r="S30" s="3">
        <f>IF(NOT(ISNUMBER($A30)),"",Inputs!$C$21+$A30*Inputs!$E$7/SQRT(Inputs!$E$6^2+Inputs!$E$7^2+Inputs!$E$8^2))</f>
        <v>-289.45400000000001</v>
      </c>
      <c r="T30" s="3">
        <f>IF(NOT(ISNUMBER($A30)),"",Inputs!$D$21+$A30*Inputs!$E$8/SQRT(Inputs!$E$6^2+Inputs!$E$7^2+Inputs!$E$8^2))</f>
        <v>182.18899999999999</v>
      </c>
      <c r="U30" s="3">
        <f>IF(NOT(ISNUMBER($A30)),"",Inputs!$B$19+Geometry!$C$15-R30)</f>
        <v>-24.932661268328502</v>
      </c>
      <c r="V30" s="3">
        <f>IF(NOT(ISNUMBER($A30)),"",Inputs!$C$19+Geometry!$C$16-S30)</f>
        <v>-151.76798447238372</v>
      </c>
      <c r="W30" s="3">
        <f>IF(NOT(ISNUMBER($A30)),"",Inputs!$D$19+Geometry!$C$17-T30)</f>
        <v>11.015351937228701</v>
      </c>
      <c r="X30" s="3">
        <f>IF(NOT(ISNUMBER($A30)),"",2*(U30*Geometry!$C$18+V30*Geometry!$C$19+W30*Geometry!$C$20))</f>
        <v>4860.3266814781255</v>
      </c>
      <c r="Y30" s="3">
        <f>IF(NOT(ISNUMBER($A30)),"",2*(U30*Geometry!$C$21+V30*Geometry!$C$22+W30*Geometry!$C$23))</f>
        <v>-46026.453477011652</v>
      </c>
      <c r="Z30" s="3">
        <f>IF(NOT(ISNUMBER($A30)),"",Geometry!$C$24^2-(U30^2+V30^2+W30^2)-(Geometry!$C$18^2+Geometry!$C$19^2+Geometry!$C$20^2))</f>
        <v>18063.334681478133</v>
      </c>
      <c r="AA30" s="3">
        <f t="shared" si="5"/>
        <v>46282.36375901955</v>
      </c>
      <c r="AB30" s="3">
        <f t="shared" si="6"/>
        <v>0.39028548272791996</v>
      </c>
      <c r="AC30" s="3">
        <f t="shared" si="7"/>
        <v>-1.4655876845306735</v>
      </c>
      <c r="AD30" s="3">
        <f t="shared" si="8"/>
        <v>1.1698546810178299</v>
      </c>
      <c r="AE30" s="3">
        <f>IF(AC30="","",MOD(AC30+Geometry!$C$47*AD30+PI(),2*PI())-PI())</f>
        <v>-0.2957330035128436</v>
      </c>
      <c r="AF30" s="3" t="b">
        <f t="shared" si="9"/>
        <v>1</v>
      </c>
      <c r="AG30" s="3">
        <f>IF(AF30=FALSE,"",IF((Geometry!$C$28*COS(AE30)+Geometry!$C$32*SIN(AE30)+Geometry!$C$8*Geometry!$C$30*(1-COS(AE30)))&gt;=0,1,-1)*ACOS(MAX(-1,MIN(1,(Geometry!$C$27*COS(AE30)+Geometry!$C$31*SIN(AE30)+Geometry!$C$7*Geometry!$C$30*(1-COS(AE30)))/SQRT((Geometry!$C$27*COS(AE30)+Geometry!$C$31*SIN(AE30)+Geometry!$C$7*Geometry!$C$30*(1-COS(AE30)))^2+(Geometry!$C$28*COS(AE30)+Geometry!$C$32*SIN(AE30)+Geometry!$C$8*Geometry!$C$30*(1-COS(AE30)))^2))))*180/PI())</f>
        <v>-16.675051651039816</v>
      </c>
    </row>
    <row r="31" spans="1:33">
      <c r="A31" s="3">
        <f>IF(Inputs!$E$9+29*Inputs!$E$11&lt;=Inputs!$E$10,Inputs!$E$9+29*Inputs!$E$11,"")</f>
        <v>-31</v>
      </c>
      <c r="B31" s="3">
        <f>IF(NOT(ISNUMBER($A31)),"",Inputs!$B$17+$A31*Inputs!$E$6/SQRT(Inputs!$E$6^2+Inputs!$E$7^2+Inputs!$E$8^2))</f>
        <v>919.87300000000005</v>
      </c>
      <c r="C31" s="3">
        <f>IF(NOT(ISNUMBER($A31)),"",Inputs!$C$17+$A31*Inputs!$E$7/SQRT(Inputs!$E$6^2+Inputs!$E$7^2+Inputs!$E$8^2))</f>
        <v>226.45400000000001</v>
      </c>
      <c r="D31" s="3">
        <f>IF(NOT(ISNUMBER($A31)),"",Inputs!$D$17+$A31*Inputs!$E$8/SQRT(Inputs!$E$6^2+Inputs!$E$7^2+Inputs!$E$8^2))</f>
        <v>182.18899999999999</v>
      </c>
      <c r="E31" s="3">
        <f>IF(NOT(ISNUMBER($A31)),"",Inputs!$B$15+Geometry!$B$15-B31)</f>
        <v>-24.932661268328502</v>
      </c>
      <c r="F31" s="3">
        <f>IF(NOT(ISNUMBER($A31)),"",Inputs!$C$15+Geometry!$B$16-C31)</f>
        <v>214.76798447238372</v>
      </c>
      <c r="G31" s="3">
        <f>IF(NOT(ISNUMBER($A31)),"",Inputs!$D$15+Geometry!$B$17-D31)</f>
        <v>11.015351937228701</v>
      </c>
      <c r="H31" s="3">
        <f>IF(NOT(ISNUMBER($A31)),"",2*(E31*Geometry!$B$18+F31*Geometry!$B$19+G31*Geometry!$B$20))</f>
        <v>9714.9826379577753</v>
      </c>
      <c r="I31" s="3">
        <f>IF(NOT(ISNUMBER($A31)),"",2*(E31*Geometry!$B$21+F31*Geometry!$B$22+G31*Geometry!$B$23))</f>
        <v>64074.84244335306</v>
      </c>
      <c r="J31" s="3">
        <f>IF(NOT(ISNUMBER($A31)),"",Geometry!$B$24^2-(E31^2+F31^2+G31^2)-(Geometry!$B$18^2+Geometry!$B$19^2+Geometry!$B$20^2))</f>
        <v>-5028.4313620422108</v>
      </c>
      <c r="K31" s="3">
        <f t="shared" si="0"/>
        <v>64807.147150575445</v>
      </c>
      <c r="L31" s="3">
        <f t="shared" si="1"/>
        <v>-7.7590691507511633E-2</v>
      </c>
      <c r="M31" s="3">
        <f t="shared" si="2"/>
        <v>1.4203230909824618</v>
      </c>
      <c r="N31" s="3">
        <f t="shared" si="3"/>
        <v>1.6484650833832084</v>
      </c>
      <c r="O31" s="3">
        <f>IF(M31="","",MOD(M31+Geometry!$B$47*N31+PI(),2*PI())-PI())</f>
        <v>-0.2281419924007464</v>
      </c>
      <c r="P31" s="3" t="b">
        <f t="shared" si="4"/>
        <v>1</v>
      </c>
      <c r="Q31" s="3">
        <f>IF(P31=FALSE,"",IF((Geometry!$B$28*COS(O31)+Geometry!$B$32*SIN(O31)+Geometry!$B$8*Geometry!$B$30*(1-COS(O31)))&gt;=0,1,-1)*ACOS(MAX(-1,MIN(1,(Geometry!$B$27*COS(O31)+Geometry!$B$31*SIN(O31)+Geometry!$B$7*Geometry!$B$30*(1-COS(O31)))/SQRT((Geometry!$B$27*COS(O31)+Geometry!$B$31*SIN(O31)+Geometry!$B$7*Geometry!$B$30*(1-COS(O31)))^2+(Geometry!$B$28*COS(O31)+Geometry!$B$32*SIN(O31)+Geometry!$B$8*Geometry!$B$30*(1-COS(O31)))^2))))*180/PI())</f>
        <v>-12.818619977713336</v>
      </c>
      <c r="R31" s="3">
        <f>IF(NOT(ISNUMBER($A31)),"",Inputs!$B$21+$A31*Inputs!$E$6/SQRT(Inputs!$E$6^2+Inputs!$E$7^2+Inputs!$E$8^2))</f>
        <v>919.87300000000005</v>
      </c>
      <c r="S31" s="3">
        <f>IF(NOT(ISNUMBER($A31)),"",Inputs!$C$21+$A31*Inputs!$E$7/SQRT(Inputs!$E$6^2+Inputs!$E$7^2+Inputs!$E$8^2))</f>
        <v>-288.45400000000001</v>
      </c>
      <c r="T31" s="3">
        <f>IF(NOT(ISNUMBER($A31)),"",Inputs!$D$21+$A31*Inputs!$E$8/SQRT(Inputs!$E$6^2+Inputs!$E$7^2+Inputs!$E$8^2))</f>
        <v>182.18899999999999</v>
      </c>
      <c r="U31" s="3">
        <f>IF(NOT(ISNUMBER($A31)),"",Inputs!$B$19+Geometry!$C$15-R31)</f>
        <v>-24.932661268328502</v>
      </c>
      <c r="V31" s="3">
        <f>IF(NOT(ISNUMBER($A31)),"",Inputs!$C$19+Geometry!$C$16-S31)</f>
        <v>-152.76798447238372</v>
      </c>
      <c r="W31" s="3">
        <f>IF(NOT(ISNUMBER($A31)),"",Inputs!$D$19+Geometry!$C$17-T31)</f>
        <v>11.015351937228701</v>
      </c>
      <c r="X31" s="3">
        <f>IF(NOT(ISNUMBER($A31)),"",2*(U31*Geometry!$C$18+V31*Geometry!$C$19+W31*Geometry!$C$20))</f>
        <v>4937.3847125333577</v>
      </c>
      <c r="Y31" s="3">
        <f>IF(NOT(ISNUMBER($A31)),"",2*(U31*Geometry!$C$21+V31*Geometry!$C$22+W31*Geometry!$C$23))</f>
        <v>-46312.935841556755</v>
      </c>
      <c r="Z31" s="3">
        <f>IF(NOT(ISNUMBER($A31)),"",Geometry!$C$24^2-(U31^2+V31^2+W31^2)-(Geometry!$C$18^2+Geometry!$C$19^2+Geometry!$C$20^2))</f>
        <v>17758.798712533368</v>
      </c>
      <c r="AA31" s="3">
        <f t="shared" si="5"/>
        <v>46575.377551488622</v>
      </c>
      <c r="AB31" s="3">
        <f t="shared" si="6"/>
        <v>0.38129156747900089</v>
      </c>
      <c r="AC31" s="3">
        <f t="shared" si="7"/>
        <v>-1.4645882914127231</v>
      </c>
      <c r="AD31" s="3">
        <f t="shared" si="8"/>
        <v>1.1796033195900797</v>
      </c>
      <c r="AE31" s="3">
        <f>IF(AC31="","",MOD(AC31+Geometry!$C$47*AD31+PI(),2*PI())-PI())</f>
        <v>-0.28498497182264337</v>
      </c>
      <c r="AF31" s="3" t="b">
        <f t="shared" si="9"/>
        <v>1</v>
      </c>
      <c r="AG31" s="3">
        <f>IF(AF31=FALSE,"",IF((Geometry!$C$28*COS(AE31)+Geometry!$C$32*SIN(AE31)+Geometry!$C$8*Geometry!$C$30*(1-COS(AE31)))&gt;=0,1,-1)*ACOS(MAX(-1,MIN(1,(Geometry!$C$27*COS(AE31)+Geometry!$C$31*SIN(AE31)+Geometry!$C$7*Geometry!$C$30*(1-COS(AE31)))/SQRT((Geometry!$C$27*COS(AE31)+Geometry!$C$31*SIN(AE31)+Geometry!$C$7*Geometry!$C$30*(1-COS(AE31)))^2+(Geometry!$C$28*COS(AE31)+Geometry!$C$32*SIN(AE31)+Geometry!$C$8*Geometry!$C$30*(1-COS(AE31)))^2))))*180/PI())</f>
        <v>-16.067128190598286</v>
      </c>
    </row>
    <row r="32" spans="1:33">
      <c r="A32" s="3">
        <f>IF(Inputs!$E$9+30*Inputs!$E$11&lt;=Inputs!$E$10,Inputs!$E$9+30*Inputs!$E$11,"")</f>
        <v>-30</v>
      </c>
      <c r="B32" s="3">
        <f>IF(NOT(ISNUMBER($A32)),"",Inputs!$B$17+$A32*Inputs!$E$6/SQRT(Inputs!$E$6^2+Inputs!$E$7^2+Inputs!$E$8^2))</f>
        <v>919.87300000000005</v>
      </c>
      <c r="C32" s="3">
        <f>IF(NOT(ISNUMBER($A32)),"",Inputs!$C$17+$A32*Inputs!$E$7/SQRT(Inputs!$E$6^2+Inputs!$E$7^2+Inputs!$E$8^2))</f>
        <v>227.45400000000001</v>
      </c>
      <c r="D32" s="3">
        <f>IF(NOT(ISNUMBER($A32)),"",Inputs!$D$17+$A32*Inputs!$E$8/SQRT(Inputs!$E$6^2+Inputs!$E$7^2+Inputs!$E$8^2))</f>
        <v>182.18899999999999</v>
      </c>
      <c r="E32" s="3">
        <f>IF(NOT(ISNUMBER($A32)),"",Inputs!$B$15+Geometry!$B$15-B32)</f>
        <v>-24.932661268328502</v>
      </c>
      <c r="F32" s="3">
        <f>IF(NOT(ISNUMBER($A32)),"",Inputs!$C$15+Geometry!$B$16-C32)</f>
        <v>213.76798447238372</v>
      </c>
      <c r="G32" s="3">
        <f>IF(NOT(ISNUMBER($A32)),"",Inputs!$D$15+Geometry!$B$17-D32)</f>
        <v>11.015351937228701</v>
      </c>
      <c r="H32" s="3">
        <f>IF(NOT(ISNUMBER($A32)),"",2*(E32*Geometry!$B$18+F32*Geometry!$B$19+G32*Geometry!$B$20))</f>
        <v>9637.924606902543</v>
      </c>
      <c r="I32" s="3">
        <f>IF(NOT(ISNUMBER($A32)),"",2*(E32*Geometry!$B$21+F32*Geometry!$B$22+G32*Geometry!$B$23))</f>
        <v>63788.360078807957</v>
      </c>
      <c r="J32" s="3">
        <f>IF(NOT(ISNUMBER($A32)),"",Geometry!$B$24^2-(E32^2+F32^2+G32^2)-(Geometry!$B$18^2+Geometry!$B$19^2+Geometry!$B$20^2))</f>
        <v>-4599.8953930974458</v>
      </c>
      <c r="K32" s="3">
        <f t="shared" si="0"/>
        <v>64512.359066089019</v>
      </c>
      <c r="L32" s="3">
        <f t="shared" si="1"/>
        <v>-7.1302545119844879E-2</v>
      </c>
      <c r="M32" s="3">
        <f t="shared" si="2"/>
        <v>1.4208383699186837</v>
      </c>
      <c r="N32" s="3">
        <f t="shared" si="3"/>
        <v>1.6421594282118024</v>
      </c>
      <c r="O32" s="3">
        <f>IF(M32="","",MOD(M32+Geometry!$B$47*N32+PI(),2*PI())-PI())</f>
        <v>-0.22132105829311843</v>
      </c>
      <c r="P32" s="3" t="b">
        <f t="shared" si="4"/>
        <v>1</v>
      </c>
      <c r="Q32" s="3">
        <f>IF(P32=FALSE,"",IF((Geometry!$B$28*COS(O32)+Geometry!$B$32*SIN(O32)+Geometry!$B$8*Geometry!$B$30*(1-COS(O32)))&gt;=0,1,-1)*ACOS(MAX(-1,MIN(1,(Geometry!$B$27*COS(O32)+Geometry!$B$31*SIN(O32)+Geometry!$B$7*Geometry!$B$30*(1-COS(O32)))/SQRT((Geometry!$B$27*COS(O32)+Geometry!$B$31*SIN(O32)+Geometry!$B$7*Geometry!$B$30*(1-COS(O32)))^2+(Geometry!$B$28*COS(O32)+Geometry!$B$32*SIN(O32)+Geometry!$B$8*Geometry!$B$30*(1-COS(O32)))^2))))*180/PI())</f>
        <v>-12.435500332547011</v>
      </c>
      <c r="R32" s="3">
        <f>IF(NOT(ISNUMBER($A32)),"",Inputs!$B$21+$A32*Inputs!$E$6/SQRT(Inputs!$E$6^2+Inputs!$E$7^2+Inputs!$E$8^2))</f>
        <v>919.87300000000005</v>
      </c>
      <c r="S32" s="3">
        <f>IF(NOT(ISNUMBER($A32)),"",Inputs!$C$21+$A32*Inputs!$E$7/SQRT(Inputs!$E$6^2+Inputs!$E$7^2+Inputs!$E$8^2))</f>
        <v>-287.45400000000001</v>
      </c>
      <c r="T32" s="3">
        <f>IF(NOT(ISNUMBER($A32)),"",Inputs!$D$21+$A32*Inputs!$E$8/SQRT(Inputs!$E$6^2+Inputs!$E$7^2+Inputs!$E$8^2))</f>
        <v>182.18899999999999</v>
      </c>
      <c r="U32" s="3">
        <f>IF(NOT(ISNUMBER($A32)),"",Inputs!$B$19+Geometry!$C$15-R32)</f>
        <v>-24.932661268328502</v>
      </c>
      <c r="V32" s="3">
        <f>IF(NOT(ISNUMBER($A32)),"",Inputs!$C$19+Geometry!$C$16-S32)</f>
        <v>-153.76798447238372</v>
      </c>
      <c r="W32" s="3">
        <f>IF(NOT(ISNUMBER($A32)),"",Inputs!$D$19+Geometry!$C$17-T32)</f>
        <v>11.015351937228701</v>
      </c>
      <c r="X32" s="3">
        <f>IF(NOT(ISNUMBER($A32)),"",2*(U32*Geometry!$C$18+V32*Geometry!$C$19+W32*Geometry!$C$20))</f>
        <v>5014.4427435885918</v>
      </c>
      <c r="Y32" s="3">
        <f>IF(NOT(ISNUMBER($A32)),"",2*(U32*Geometry!$C$21+V32*Geometry!$C$22+W32*Geometry!$C$23))</f>
        <v>-46599.418206101858</v>
      </c>
      <c r="Z32" s="3">
        <f>IF(NOT(ISNUMBER($A32)),"",Geometry!$C$24^2-(U32^2+V32^2+W32^2)-(Geometry!$C$18^2+Geometry!$C$19^2+Geometry!$C$20^2))</f>
        <v>17452.262743588595</v>
      </c>
      <c r="AA32" s="3">
        <f t="shared" si="5"/>
        <v>46868.437281137354</v>
      </c>
      <c r="AB32" s="3">
        <f t="shared" si="6"/>
        <v>0.37236707165853006</v>
      </c>
      <c r="AC32" s="3">
        <f t="shared" si="7"/>
        <v>-1.4636013953625213</v>
      </c>
      <c r="AD32" s="3">
        <f t="shared" si="8"/>
        <v>1.1892381182924989</v>
      </c>
      <c r="AE32" s="3">
        <f>IF(AC32="","",MOD(AC32+Geometry!$C$47*AD32+PI(),2*PI())-PI())</f>
        <v>-0.27436327707002217</v>
      </c>
      <c r="AF32" s="3" t="b">
        <f t="shared" si="9"/>
        <v>1</v>
      </c>
      <c r="AG32" s="3">
        <f>IF(AF32=FALSE,"",IF((Geometry!$C$28*COS(AE32)+Geometry!$C$32*SIN(AE32)+Geometry!$C$8*Geometry!$C$30*(1-COS(AE32)))&gt;=0,1,-1)*ACOS(MAX(-1,MIN(1,(Geometry!$C$27*COS(AE32)+Geometry!$C$31*SIN(AE32)+Geometry!$C$7*Geometry!$C$30*(1-COS(AE32)))/SQRT((Geometry!$C$27*COS(AE32)+Geometry!$C$31*SIN(AE32)+Geometry!$C$7*Geometry!$C$30*(1-COS(AE32)))^2+(Geometry!$C$28*COS(AE32)+Geometry!$C$32*SIN(AE32)+Geometry!$C$8*Geometry!$C$30*(1-COS(AE32)))^2))))*180/PI())</f>
        <v>-15.466511804006489</v>
      </c>
    </row>
    <row r="33" spans="1:33">
      <c r="A33" s="3">
        <f>IF(Inputs!$E$9+31*Inputs!$E$11&lt;=Inputs!$E$10,Inputs!$E$9+31*Inputs!$E$11,"")</f>
        <v>-29</v>
      </c>
      <c r="B33" s="3">
        <f>IF(NOT(ISNUMBER($A33)),"",Inputs!$B$17+$A33*Inputs!$E$6/SQRT(Inputs!$E$6^2+Inputs!$E$7^2+Inputs!$E$8^2))</f>
        <v>919.87300000000005</v>
      </c>
      <c r="C33" s="3">
        <f>IF(NOT(ISNUMBER($A33)),"",Inputs!$C$17+$A33*Inputs!$E$7/SQRT(Inputs!$E$6^2+Inputs!$E$7^2+Inputs!$E$8^2))</f>
        <v>228.45400000000001</v>
      </c>
      <c r="D33" s="3">
        <f>IF(NOT(ISNUMBER($A33)),"",Inputs!$D$17+$A33*Inputs!$E$8/SQRT(Inputs!$E$6^2+Inputs!$E$7^2+Inputs!$E$8^2))</f>
        <v>182.18899999999999</v>
      </c>
      <c r="E33" s="3">
        <f>IF(NOT(ISNUMBER($A33)),"",Inputs!$B$15+Geometry!$B$15-B33)</f>
        <v>-24.932661268328502</v>
      </c>
      <c r="F33" s="3">
        <f>IF(NOT(ISNUMBER($A33)),"",Inputs!$C$15+Geometry!$B$16-C33)</f>
        <v>212.76798447238372</v>
      </c>
      <c r="G33" s="3">
        <f>IF(NOT(ISNUMBER($A33)),"",Inputs!$D$15+Geometry!$B$17-D33)</f>
        <v>11.015351937228701</v>
      </c>
      <c r="H33" s="3">
        <f>IF(NOT(ISNUMBER($A33)),"",2*(E33*Geometry!$B$18+F33*Geometry!$B$19+G33*Geometry!$B$20))</f>
        <v>9560.8665758473071</v>
      </c>
      <c r="I33" s="3">
        <f>IF(NOT(ISNUMBER($A33)),"",2*(E33*Geometry!$B$21+F33*Geometry!$B$22+G33*Geometry!$B$23))</f>
        <v>63501.877714262861</v>
      </c>
      <c r="J33" s="3">
        <f>IF(NOT(ISNUMBER($A33)),"",Geometry!$B$24^2-(E33^2+F33^2+G33^2)-(Geometry!$B$18^2+Geometry!$B$19^2+Geometry!$B$20^2))</f>
        <v>-4173.3594241526807</v>
      </c>
      <c r="K33" s="3">
        <f t="shared" si="0"/>
        <v>64217.588267688378</v>
      </c>
      <c r="L33" s="3">
        <f t="shared" si="1"/>
        <v>-6.4987794414766931E-2</v>
      </c>
      <c r="M33" s="3">
        <f t="shared" si="2"/>
        <v>1.4213583794483378</v>
      </c>
      <c r="N33" s="3">
        <f t="shared" si="3"/>
        <v>1.6358299534228551</v>
      </c>
      <c r="O33" s="3">
        <f>IF(M33="","",MOD(M33+Geometry!$B$47*N33+PI(),2*PI())-PI())</f>
        <v>-0.21447157397451733</v>
      </c>
      <c r="P33" s="3" t="b">
        <f t="shared" si="4"/>
        <v>1</v>
      </c>
      <c r="Q33" s="3">
        <f>IF(P33=FALSE,"",IF((Geometry!$B$28*COS(O33)+Geometry!$B$32*SIN(O33)+Geometry!$B$8*Geometry!$B$30*(1-COS(O33)))&gt;=0,1,-1)*ACOS(MAX(-1,MIN(1,(Geometry!$B$27*COS(O33)+Geometry!$B$31*SIN(O33)+Geometry!$B$7*Geometry!$B$30*(1-COS(O33)))/SQRT((Geometry!$B$27*COS(O33)+Geometry!$B$31*SIN(O33)+Geometry!$B$7*Geometry!$B$30*(1-COS(O33)))^2+(Geometry!$B$28*COS(O33)+Geometry!$B$32*SIN(O33)+Geometry!$B$8*Geometry!$B$30*(1-COS(O33)))^2))))*180/PI())</f>
        <v>-12.050782137632183</v>
      </c>
      <c r="R33" s="3">
        <f>IF(NOT(ISNUMBER($A33)),"",Inputs!$B$21+$A33*Inputs!$E$6/SQRT(Inputs!$E$6^2+Inputs!$E$7^2+Inputs!$E$8^2))</f>
        <v>919.87300000000005</v>
      </c>
      <c r="S33" s="3">
        <f>IF(NOT(ISNUMBER($A33)),"",Inputs!$C$21+$A33*Inputs!$E$7/SQRT(Inputs!$E$6^2+Inputs!$E$7^2+Inputs!$E$8^2))</f>
        <v>-286.45400000000001</v>
      </c>
      <c r="T33" s="3">
        <f>IF(NOT(ISNUMBER($A33)),"",Inputs!$D$21+$A33*Inputs!$E$8/SQRT(Inputs!$E$6^2+Inputs!$E$7^2+Inputs!$E$8^2))</f>
        <v>182.18899999999999</v>
      </c>
      <c r="U33" s="3">
        <f>IF(NOT(ISNUMBER($A33)),"",Inputs!$B$19+Geometry!$C$15-R33)</f>
        <v>-24.932661268328502</v>
      </c>
      <c r="V33" s="3">
        <f>IF(NOT(ISNUMBER($A33)),"",Inputs!$C$19+Geometry!$C$16-S33)</f>
        <v>-154.76798447238372</v>
      </c>
      <c r="W33" s="3">
        <f>IF(NOT(ISNUMBER($A33)),"",Inputs!$D$19+Geometry!$C$17-T33)</f>
        <v>11.015351937228701</v>
      </c>
      <c r="X33" s="3">
        <f>IF(NOT(ISNUMBER($A33)),"",2*(U33*Geometry!$C$18+V33*Geometry!$C$19+W33*Geometry!$C$20))</f>
        <v>5091.5007746438241</v>
      </c>
      <c r="Y33" s="3">
        <f>IF(NOT(ISNUMBER($A33)),"",2*(U33*Geometry!$C$21+V33*Geometry!$C$22+W33*Geometry!$C$23))</f>
        <v>-46885.900570646954</v>
      </c>
      <c r="Z33" s="3">
        <f>IF(NOT(ISNUMBER($A33)),"",Geometry!$C$24^2-(U33^2+V33^2+W33^2)-(Geometry!$C$18^2+Geometry!$C$19^2+Geometry!$C$20^2))</f>
        <v>17143.72677464383</v>
      </c>
      <c r="AA33" s="3">
        <f t="shared" si="5"/>
        <v>47161.542091610951</v>
      </c>
      <c r="AB33" s="3">
        <f t="shared" si="6"/>
        <v>0.36351073383780086</v>
      </c>
      <c r="AC33" s="3">
        <f t="shared" si="7"/>
        <v>-1.4626267653161031</v>
      </c>
      <c r="AD33" s="3">
        <f t="shared" si="8"/>
        <v>1.1987626516278014</v>
      </c>
      <c r="AE33" s="3">
        <f>IF(AC33="","",MOD(AC33+Geometry!$C$47*AD33+PI(),2*PI())-PI())</f>
        <v>-0.26386411368830176</v>
      </c>
      <c r="AF33" s="3" t="b">
        <f t="shared" si="9"/>
        <v>1</v>
      </c>
      <c r="AG33" s="3">
        <f>IF(AF33=FALSE,"",IF((Geometry!$C$28*COS(AE33)+Geometry!$C$32*SIN(AE33)+Geometry!$C$8*Geometry!$C$30*(1-COS(AE33)))&gt;=0,1,-1)*ACOS(MAX(-1,MIN(1,(Geometry!$C$27*COS(AE33)+Geometry!$C$31*SIN(AE33)+Geometry!$C$7*Geometry!$C$30*(1-COS(AE33)))/SQRT((Geometry!$C$27*COS(AE33)+Geometry!$C$31*SIN(AE33)+Geometry!$C$7*Geometry!$C$30*(1-COS(AE33)))^2+(Geometry!$C$28*COS(AE33)+Geometry!$C$32*SIN(AE33)+Geometry!$C$8*Geometry!$C$30*(1-COS(AE33)))^2))))*180/PI())</f>
        <v>-14.872979785961997</v>
      </c>
    </row>
    <row r="34" spans="1:33">
      <c r="A34" s="3">
        <f>IF(Inputs!$E$9+32*Inputs!$E$11&lt;=Inputs!$E$10,Inputs!$E$9+32*Inputs!$E$11,"")</f>
        <v>-28</v>
      </c>
      <c r="B34" s="3">
        <f>IF(NOT(ISNUMBER($A34)),"",Inputs!$B$17+$A34*Inputs!$E$6/SQRT(Inputs!$E$6^2+Inputs!$E$7^2+Inputs!$E$8^2))</f>
        <v>919.87300000000005</v>
      </c>
      <c r="C34" s="3">
        <f>IF(NOT(ISNUMBER($A34)),"",Inputs!$C$17+$A34*Inputs!$E$7/SQRT(Inputs!$E$6^2+Inputs!$E$7^2+Inputs!$E$8^2))</f>
        <v>229.45400000000001</v>
      </c>
      <c r="D34" s="3">
        <f>IF(NOT(ISNUMBER($A34)),"",Inputs!$D$17+$A34*Inputs!$E$8/SQRT(Inputs!$E$6^2+Inputs!$E$7^2+Inputs!$E$8^2))</f>
        <v>182.18899999999999</v>
      </c>
      <c r="E34" s="3">
        <f>IF(NOT(ISNUMBER($A34)),"",Inputs!$B$15+Geometry!$B$15-B34)</f>
        <v>-24.932661268328502</v>
      </c>
      <c r="F34" s="3">
        <f>IF(NOT(ISNUMBER($A34)),"",Inputs!$C$15+Geometry!$B$16-C34)</f>
        <v>211.76798447238372</v>
      </c>
      <c r="G34" s="3">
        <f>IF(NOT(ISNUMBER($A34)),"",Inputs!$D$15+Geometry!$B$17-D34)</f>
        <v>11.015351937228701</v>
      </c>
      <c r="H34" s="3">
        <f>IF(NOT(ISNUMBER($A34)),"",2*(E34*Geometry!$B$18+F34*Geometry!$B$19+G34*Geometry!$B$20))</f>
        <v>9483.8085447920766</v>
      </c>
      <c r="I34" s="3">
        <f>IF(NOT(ISNUMBER($A34)),"",2*(E34*Geometry!$B$21+F34*Geometry!$B$22+G34*Geometry!$B$23))</f>
        <v>63215.395349717757</v>
      </c>
      <c r="J34" s="3">
        <f>IF(NOT(ISNUMBER($A34)),"",Geometry!$B$24^2-(E34^2+F34^2+G34^2)-(Geometry!$B$18^2+Geometry!$B$19^2+Geometry!$B$20^2))</f>
        <v>-3748.8234552079084</v>
      </c>
      <c r="K34" s="3">
        <f t="shared" ref="K34:K65" si="10">IF(NOT(ISNUMBER($A34)),"",SQRT(H34^2+I34^2))</f>
        <v>63922.834994510282</v>
      </c>
      <c r="L34" s="3">
        <f t="shared" ref="L34:L65" si="11">IF(OR(NOT(ISNUMBER($A34)),K34&lt;0.000000000001),"",MAX(-1,MIN(1,J34/K34)))</f>
        <v>-5.864607625005773E-2</v>
      </c>
      <c r="M34" s="3">
        <f t="shared" ref="M34:M65" si="12">IF(OR(NOT(ISNUMBER($A34)),K34&lt;0.000000000001),"",IF(I34&gt;=0,ACOS(MAX(-1,MIN(1,H34/K34))),-ACOS(MAX(-1,MIN(1,H34/K34)))))</f>
        <v>1.421883184731547</v>
      </c>
      <c r="N34" s="3">
        <f t="shared" ref="N34:N65" si="13">IF(L34="","",ACOS(L34))</f>
        <v>1.6294760726988784</v>
      </c>
      <c r="O34" s="3">
        <f>IF(M34="","",MOD(M34+Geometry!$B$47*N34+PI(),2*PI())-PI())</f>
        <v>-0.20759288796733166</v>
      </c>
      <c r="P34" s="3" t="b">
        <f t="shared" ref="P34:P65" si="14">IF(NOT(ISNUMBER($A34)),"",AND(K34&gt;=0.000000000001,ABS(J34)&lt;=K34+0.00000001))</f>
        <v>1</v>
      </c>
      <c r="Q34" s="3">
        <f>IF(P34=FALSE,"",IF((Geometry!$B$28*COS(O34)+Geometry!$B$32*SIN(O34)+Geometry!$B$8*Geometry!$B$30*(1-COS(O34)))&gt;=0,1,-1)*ACOS(MAX(-1,MIN(1,(Geometry!$B$27*COS(O34)+Geometry!$B$31*SIN(O34)+Geometry!$B$7*Geometry!$B$30*(1-COS(O34)))/SQRT((Geometry!$B$27*COS(O34)+Geometry!$B$31*SIN(O34)+Geometry!$B$7*Geometry!$B$30*(1-COS(O34)))^2+(Geometry!$B$28*COS(O34)+Geometry!$B$32*SIN(O34)+Geometry!$B$8*Geometry!$B$30*(1-COS(O34)))^2))))*180/PI())</f>
        <v>-11.66442756443622</v>
      </c>
      <c r="R34" s="3">
        <f>IF(NOT(ISNUMBER($A34)),"",Inputs!$B$21+$A34*Inputs!$E$6/SQRT(Inputs!$E$6^2+Inputs!$E$7^2+Inputs!$E$8^2))</f>
        <v>919.87300000000005</v>
      </c>
      <c r="S34" s="3">
        <f>IF(NOT(ISNUMBER($A34)),"",Inputs!$C$21+$A34*Inputs!$E$7/SQRT(Inputs!$E$6^2+Inputs!$E$7^2+Inputs!$E$8^2))</f>
        <v>-285.45400000000001</v>
      </c>
      <c r="T34" s="3">
        <f>IF(NOT(ISNUMBER($A34)),"",Inputs!$D$21+$A34*Inputs!$E$8/SQRT(Inputs!$E$6^2+Inputs!$E$7^2+Inputs!$E$8^2))</f>
        <v>182.18899999999999</v>
      </c>
      <c r="U34" s="3">
        <f>IF(NOT(ISNUMBER($A34)),"",Inputs!$B$19+Geometry!$C$15-R34)</f>
        <v>-24.932661268328502</v>
      </c>
      <c r="V34" s="3">
        <f>IF(NOT(ISNUMBER($A34)),"",Inputs!$C$19+Geometry!$C$16-S34)</f>
        <v>-155.76798447238372</v>
      </c>
      <c r="W34" s="3">
        <f>IF(NOT(ISNUMBER($A34)),"",Inputs!$D$19+Geometry!$C$17-T34)</f>
        <v>11.015351937228701</v>
      </c>
      <c r="X34" s="3">
        <f>IF(NOT(ISNUMBER($A34)),"",2*(U34*Geometry!$C$18+V34*Geometry!$C$19+W34*Geometry!$C$20))</f>
        <v>5168.5588056990564</v>
      </c>
      <c r="Y34" s="3">
        <f>IF(NOT(ISNUMBER($A34)),"",2*(U34*Geometry!$C$21+V34*Geometry!$C$22+W34*Geometry!$C$23))</f>
        <v>-47172.382935192058</v>
      </c>
      <c r="Z34" s="3">
        <f>IF(NOT(ISNUMBER($A34)),"",Geometry!$C$24^2-(U34^2+V34^2+W34^2)-(Geometry!$C$18^2+Geometry!$C$19^2+Geometry!$C$20^2))</f>
        <v>16833.190805699065</v>
      </c>
      <c r="AA34" s="3">
        <f t="shared" ref="AA34:AA65" si="15">IF(NOT(ISNUMBER($A34)),"",SQRT(X34^2+Y34^2))</f>
        <v>47454.691147581696</v>
      </c>
      <c r="AB34" s="3">
        <f t="shared" ref="AB34:AB65" si="16">IF(OR(NOT(ISNUMBER($A34)),AA34&lt;0.000000000001),"",MAX(-1,MIN(1,Z34/AA34)))</f>
        <v>0.35472132256321487</v>
      </c>
      <c r="AC34" s="3">
        <f t="shared" ref="AC34:AC65" si="17">IF(OR(NOT(ISNUMBER($A34)),AA34&lt;0.000000000001),"",IF(Y34&gt;=0,ACOS(MAX(-1,MIN(1,X34/AA34))),-ACOS(MAX(-1,MIN(1,X34/AA34)))))</f>
        <v>-1.4616641758245137</v>
      </c>
      <c r="AD34" s="3">
        <f t="shared" ref="AD34:AD65" si="18">IF(AB34="","",ACOS(AB34))</f>
        <v>1.2081803360189347</v>
      </c>
      <c r="AE34" s="3">
        <f>IF(AC34="","",MOD(AC34+Geometry!$C$47*AD34+PI(),2*PI())-PI())</f>
        <v>-0.25348383980557898</v>
      </c>
      <c r="AF34" s="3" t="b">
        <f t="shared" ref="AF34:AF65" si="19">IF(NOT(ISNUMBER($A34)),"",AND(AA34&gt;=0.000000000001,ABS(Z34)&lt;=AA34+0.00000001))</f>
        <v>1</v>
      </c>
      <c r="AG34" s="3">
        <f>IF(AF34=FALSE,"",IF((Geometry!$C$28*COS(AE34)+Geometry!$C$32*SIN(AE34)+Geometry!$C$8*Geometry!$C$30*(1-COS(AE34)))&gt;=0,1,-1)*ACOS(MAX(-1,MIN(1,(Geometry!$C$27*COS(AE34)+Geometry!$C$31*SIN(AE34)+Geometry!$C$7*Geometry!$C$30*(1-COS(AE34)))/SQRT((Geometry!$C$27*COS(AE34)+Geometry!$C$31*SIN(AE34)+Geometry!$C$7*Geometry!$C$30*(1-COS(AE34)))^2+(Geometry!$C$28*COS(AE34)+Geometry!$C$32*SIN(AE34)+Geometry!$C$8*Geometry!$C$30*(1-COS(AE34)))^2))))*180/PI())</f>
        <v>-14.286319015819165</v>
      </c>
    </row>
    <row r="35" spans="1:33">
      <c r="A35" s="3">
        <f>IF(Inputs!$E$9+33*Inputs!$E$11&lt;=Inputs!$E$10,Inputs!$E$9+33*Inputs!$E$11,"")</f>
        <v>-27</v>
      </c>
      <c r="B35" s="3">
        <f>IF(NOT(ISNUMBER($A35)),"",Inputs!$B$17+$A35*Inputs!$E$6/SQRT(Inputs!$E$6^2+Inputs!$E$7^2+Inputs!$E$8^2))</f>
        <v>919.87300000000005</v>
      </c>
      <c r="C35" s="3">
        <f>IF(NOT(ISNUMBER($A35)),"",Inputs!$C$17+$A35*Inputs!$E$7/SQRT(Inputs!$E$6^2+Inputs!$E$7^2+Inputs!$E$8^2))</f>
        <v>230.45400000000001</v>
      </c>
      <c r="D35" s="3">
        <f>IF(NOT(ISNUMBER($A35)),"",Inputs!$D$17+$A35*Inputs!$E$8/SQRT(Inputs!$E$6^2+Inputs!$E$7^2+Inputs!$E$8^2))</f>
        <v>182.18899999999999</v>
      </c>
      <c r="E35" s="3">
        <f>IF(NOT(ISNUMBER($A35)),"",Inputs!$B$15+Geometry!$B$15-B35)</f>
        <v>-24.932661268328502</v>
      </c>
      <c r="F35" s="3">
        <f>IF(NOT(ISNUMBER($A35)),"",Inputs!$C$15+Geometry!$B$16-C35)</f>
        <v>210.76798447238372</v>
      </c>
      <c r="G35" s="3">
        <f>IF(NOT(ISNUMBER($A35)),"",Inputs!$D$15+Geometry!$B$17-D35)</f>
        <v>11.015351937228701</v>
      </c>
      <c r="H35" s="3">
        <f>IF(NOT(ISNUMBER($A35)),"",2*(E35*Geometry!$B$18+F35*Geometry!$B$19+G35*Geometry!$B$20))</f>
        <v>9406.7505137368444</v>
      </c>
      <c r="I35" s="3">
        <f>IF(NOT(ISNUMBER($A35)),"",2*(E35*Geometry!$B$21+F35*Geometry!$B$22+G35*Geometry!$B$23))</f>
        <v>62928.912985172654</v>
      </c>
      <c r="J35" s="3">
        <f>IF(NOT(ISNUMBER($A35)),"",Geometry!$B$24^2-(E35^2+F35^2+G35^2)-(Geometry!$B$18^2+Geometry!$B$19^2+Geometry!$B$20^2))</f>
        <v>-3326.2874862631434</v>
      </c>
      <c r="K35" s="3">
        <f t="shared" si="10"/>
        <v>63628.099490108296</v>
      </c>
      <c r="L35" s="3">
        <f t="shared" si="11"/>
        <v>-5.2277020890436184E-2</v>
      </c>
      <c r="M35" s="3">
        <f t="shared" si="12"/>
        <v>1.4224128521253039</v>
      </c>
      <c r="N35" s="3">
        <f t="shared" si="13"/>
        <v>1.623097188213755</v>
      </c>
      <c r="O35" s="3">
        <f>IF(M35="","",MOD(M35+Geometry!$B$47*N35+PI(),2*PI())-PI())</f>
        <v>-0.20068433608845115</v>
      </c>
      <c r="P35" s="3" t="b">
        <f t="shared" si="14"/>
        <v>1</v>
      </c>
      <c r="Q35" s="3">
        <f>IF(P35=FALSE,"",IF((Geometry!$B$28*COS(O35)+Geometry!$B$32*SIN(O35)+Geometry!$B$8*Geometry!$B$30*(1-COS(O35)))&gt;=0,1,-1)*ACOS(MAX(-1,MIN(1,(Geometry!$B$27*COS(O35)+Geometry!$B$31*SIN(O35)+Geometry!$B$7*Geometry!$B$30*(1-COS(O35)))/SQRT((Geometry!$B$27*COS(O35)+Geometry!$B$31*SIN(O35)+Geometry!$B$7*Geometry!$B$30*(1-COS(O35)))^2+(Geometry!$B$28*COS(O35)+Geometry!$B$32*SIN(O35)+Geometry!$B$8*Geometry!$B$30*(1-COS(O35)))^2))))*180/PI())</f>
        <v>-11.276398043682073</v>
      </c>
      <c r="R35" s="3">
        <f>IF(NOT(ISNUMBER($A35)),"",Inputs!$B$21+$A35*Inputs!$E$6/SQRT(Inputs!$E$6^2+Inputs!$E$7^2+Inputs!$E$8^2))</f>
        <v>919.87300000000005</v>
      </c>
      <c r="S35" s="3">
        <f>IF(NOT(ISNUMBER($A35)),"",Inputs!$C$21+$A35*Inputs!$E$7/SQRT(Inputs!$E$6^2+Inputs!$E$7^2+Inputs!$E$8^2))</f>
        <v>-284.45400000000001</v>
      </c>
      <c r="T35" s="3">
        <f>IF(NOT(ISNUMBER($A35)),"",Inputs!$D$21+$A35*Inputs!$E$8/SQRT(Inputs!$E$6^2+Inputs!$E$7^2+Inputs!$E$8^2))</f>
        <v>182.18899999999999</v>
      </c>
      <c r="U35" s="3">
        <f>IF(NOT(ISNUMBER($A35)),"",Inputs!$B$19+Geometry!$C$15-R35)</f>
        <v>-24.932661268328502</v>
      </c>
      <c r="V35" s="3">
        <f>IF(NOT(ISNUMBER($A35)),"",Inputs!$C$19+Geometry!$C$16-S35)</f>
        <v>-156.76798447238372</v>
      </c>
      <c r="W35" s="3">
        <f>IF(NOT(ISNUMBER($A35)),"",Inputs!$D$19+Geometry!$C$17-T35)</f>
        <v>11.015351937228701</v>
      </c>
      <c r="X35" s="3">
        <f>IF(NOT(ISNUMBER($A35)),"",2*(U35*Geometry!$C$18+V35*Geometry!$C$19+W35*Geometry!$C$20))</f>
        <v>5245.6168367542887</v>
      </c>
      <c r="Y35" s="3">
        <f>IF(NOT(ISNUMBER($A35)),"",2*(U35*Geometry!$C$21+V35*Geometry!$C$22+W35*Geometry!$C$23))</f>
        <v>-47458.865299737161</v>
      </c>
      <c r="Z35" s="3">
        <f>IF(NOT(ISNUMBER($A35)),"",Geometry!$C$24^2-(U35^2+V35^2+W35^2)-(Geometry!$C$18^2+Geometry!$C$19^2+Geometry!$C$20^2))</f>
        <v>16520.6548367543</v>
      </c>
      <c r="AA35" s="3">
        <f t="shared" si="15"/>
        <v>47747.883634111327</v>
      </c>
      <c r="AB35" s="3">
        <f t="shared" si="16"/>
        <v>0.34599763548371937</v>
      </c>
      <c r="AC35" s="3">
        <f t="shared" si="17"/>
        <v>-1.4607134068856997</v>
      </c>
      <c r="AD35" s="3">
        <f t="shared" si="18"/>
        <v>1.2174944394449605</v>
      </c>
      <c r="AE35" s="3">
        <f>IF(AC35="","",MOD(AC35+Geometry!$C$47*AD35+PI(),2*PI())-PI())</f>
        <v>-0.24321896744073923</v>
      </c>
      <c r="AF35" s="3" t="b">
        <f t="shared" si="19"/>
        <v>1</v>
      </c>
      <c r="AG35" s="3">
        <f>IF(AF35=FALSE,"",IF((Geometry!$C$28*COS(AE35)+Geometry!$C$32*SIN(AE35)+Geometry!$C$8*Geometry!$C$30*(1-COS(AE35)))&gt;=0,1,-1)*ACOS(MAX(-1,MIN(1,(Geometry!$C$27*COS(AE35)+Geometry!$C$31*SIN(AE35)+Geometry!$C$7*Geometry!$C$30*(1-COS(AE35)))/SQRT((Geometry!$C$27*COS(AE35)+Geometry!$C$31*SIN(AE35)+Geometry!$C$7*Geometry!$C$30*(1-COS(AE35)))^2+(Geometry!$C$28*COS(AE35)+Geometry!$C$32*SIN(AE35)+Geometry!$C$8*Geometry!$C$30*(1-COS(AE35)))^2))))*180/PI())</f>
        <v>-13.706325385704998</v>
      </c>
    </row>
    <row r="36" spans="1:33">
      <c r="A36" s="3">
        <f>IF(Inputs!$E$9+34*Inputs!$E$11&lt;=Inputs!$E$10,Inputs!$E$9+34*Inputs!$E$11,"")</f>
        <v>-26</v>
      </c>
      <c r="B36" s="3">
        <f>IF(NOT(ISNUMBER($A36)),"",Inputs!$B$17+$A36*Inputs!$E$6/SQRT(Inputs!$E$6^2+Inputs!$E$7^2+Inputs!$E$8^2))</f>
        <v>919.87300000000005</v>
      </c>
      <c r="C36" s="3">
        <f>IF(NOT(ISNUMBER($A36)),"",Inputs!$C$17+$A36*Inputs!$E$7/SQRT(Inputs!$E$6^2+Inputs!$E$7^2+Inputs!$E$8^2))</f>
        <v>231.45400000000001</v>
      </c>
      <c r="D36" s="3">
        <f>IF(NOT(ISNUMBER($A36)),"",Inputs!$D$17+$A36*Inputs!$E$8/SQRT(Inputs!$E$6^2+Inputs!$E$7^2+Inputs!$E$8^2))</f>
        <v>182.18899999999999</v>
      </c>
      <c r="E36" s="3">
        <f>IF(NOT(ISNUMBER($A36)),"",Inputs!$B$15+Geometry!$B$15-B36)</f>
        <v>-24.932661268328502</v>
      </c>
      <c r="F36" s="3">
        <f>IF(NOT(ISNUMBER($A36)),"",Inputs!$C$15+Geometry!$B$16-C36)</f>
        <v>209.76798447238372</v>
      </c>
      <c r="G36" s="3">
        <f>IF(NOT(ISNUMBER($A36)),"",Inputs!$D$15+Geometry!$B$17-D36)</f>
        <v>11.015351937228701</v>
      </c>
      <c r="H36" s="3">
        <f>IF(NOT(ISNUMBER($A36)),"",2*(E36*Geometry!$B$18+F36*Geometry!$B$19+G36*Geometry!$B$20))</f>
        <v>9329.6924826816121</v>
      </c>
      <c r="I36" s="3">
        <f>IF(NOT(ISNUMBER($A36)),"",2*(E36*Geometry!$B$21+F36*Geometry!$B$22+G36*Geometry!$B$23))</f>
        <v>62642.430620627551</v>
      </c>
      <c r="J36" s="3">
        <f>IF(NOT(ISNUMBER($A36)),"",Geometry!$B$24^2-(E36^2+F36^2+G36^2)-(Geometry!$B$18^2+Geometry!$B$19^2+Geometry!$B$20^2))</f>
        <v>-2905.7515173183783</v>
      </c>
      <c r="K36" s="3">
        <f t="shared" si="10"/>
        <v>63333.382002554878</v>
      </c>
      <c r="L36" s="3">
        <f t="shared" si="11"/>
        <v>-4.5880251858351095E-2</v>
      </c>
      <c r="M36" s="3">
        <f t="shared" si="12"/>
        <v>1.4229474492109506</v>
      </c>
      <c r="N36" s="3">
        <f t="shared" si="13"/>
        <v>1.6166926902222418</v>
      </c>
      <c r="O36" s="3">
        <f>IF(M36="","",MOD(M36+Geometry!$B$47*N36+PI(),2*PI())-PI())</f>
        <v>-0.1937452410112912</v>
      </c>
      <c r="P36" s="3" t="b">
        <f t="shared" si="14"/>
        <v>1</v>
      </c>
      <c r="Q36" s="3">
        <f>IF(P36=FALSE,"",IF((Geometry!$B$28*COS(O36)+Geometry!$B$32*SIN(O36)+Geometry!$B$8*Geometry!$B$30*(1-COS(O36)))&gt;=0,1,-1)*ACOS(MAX(-1,MIN(1,(Geometry!$B$27*COS(O36)+Geometry!$B$31*SIN(O36)+Geometry!$B$7*Geometry!$B$30*(1-COS(O36)))/SQRT((Geometry!$B$27*COS(O36)+Geometry!$B$31*SIN(O36)+Geometry!$B$7*Geometry!$B$30*(1-COS(O36)))^2+(Geometry!$B$28*COS(O36)+Geometry!$B$32*SIN(O36)+Geometry!$B$8*Geometry!$B$30*(1-COS(O36)))^2))))*180/PI())</f>
        <v>-10.886654239577581</v>
      </c>
      <c r="R36" s="3">
        <f>IF(NOT(ISNUMBER($A36)),"",Inputs!$B$21+$A36*Inputs!$E$6/SQRT(Inputs!$E$6^2+Inputs!$E$7^2+Inputs!$E$8^2))</f>
        <v>919.87300000000005</v>
      </c>
      <c r="S36" s="3">
        <f>IF(NOT(ISNUMBER($A36)),"",Inputs!$C$21+$A36*Inputs!$E$7/SQRT(Inputs!$E$6^2+Inputs!$E$7^2+Inputs!$E$8^2))</f>
        <v>-283.45400000000001</v>
      </c>
      <c r="T36" s="3">
        <f>IF(NOT(ISNUMBER($A36)),"",Inputs!$D$21+$A36*Inputs!$E$8/SQRT(Inputs!$E$6^2+Inputs!$E$7^2+Inputs!$E$8^2))</f>
        <v>182.18899999999999</v>
      </c>
      <c r="U36" s="3">
        <f>IF(NOT(ISNUMBER($A36)),"",Inputs!$B$19+Geometry!$C$15-R36)</f>
        <v>-24.932661268328502</v>
      </c>
      <c r="V36" s="3">
        <f>IF(NOT(ISNUMBER($A36)),"",Inputs!$C$19+Geometry!$C$16-S36)</f>
        <v>-157.76798447238372</v>
      </c>
      <c r="W36" s="3">
        <f>IF(NOT(ISNUMBER($A36)),"",Inputs!$D$19+Geometry!$C$17-T36)</f>
        <v>11.015351937228701</v>
      </c>
      <c r="X36" s="3">
        <f>IF(NOT(ISNUMBER($A36)),"",2*(U36*Geometry!$C$18+V36*Geometry!$C$19+W36*Geometry!$C$20))</f>
        <v>5322.6748678095209</v>
      </c>
      <c r="Y36" s="3">
        <f>IF(NOT(ISNUMBER($A36)),"",2*(U36*Geometry!$C$21+V36*Geometry!$C$22+W36*Geometry!$C$23))</f>
        <v>-47745.347664282264</v>
      </c>
      <c r="Z36" s="3">
        <f>IF(NOT(ISNUMBER($A36)),"",Geometry!$C$24^2-(U36^2+V36^2+W36^2)-(Geometry!$C$18^2+Geometry!$C$19^2+Geometry!$C$20^2))</f>
        <v>16206.118867809535</v>
      </c>
      <c r="AA36" s="3">
        <f t="shared" si="15"/>
        <v>48041.118756036427</v>
      </c>
      <c r="AB36" s="3">
        <f t="shared" si="16"/>
        <v>0.33733849850807679</v>
      </c>
      <c r="AC36" s="3">
        <f t="shared" si="17"/>
        <v>-1.4597742437823527</v>
      </c>
      <c r="AD36" s="3">
        <f t="shared" si="18"/>
        <v>1.2267080903337559</v>
      </c>
      <c r="AE36" s="3">
        <f>IF(AC36="","",MOD(AC36+Geometry!$C$47*AD36+PI(),2*PI())-PI())</f>
        <v>-0.23306615344859694</v>
      </c>
      <c r="AF36" s="3" t="b">
        <f t="shared" si="19"/>
        <v>1</v>
      </c>
      <c r="AG36" s="3">
        <f>IF(AF36=FALSE,"",IF((Geometry!$C$28*COS(AE36)+Geometry!$C$32*SIN(AE36)+Geometry!$C$8*Geometry!$C$30*(1-COS(AE36)))&gt;=0,1,-1)*ACOS(MAX(-1,MIN(1,(Geometry!$C$27*COS(AE36)+Geometry!$C$31*SIN(AE36)+Geometry!$C$7*Geometry!$C$30*(1-COS(AE36)))/SQRT((Geometry!$C$27*COS(AE36)+Geometry!$C$31*SIN(AE36)+Geometry!$C$7*Geometry!$C$30*(1-COS(AE36)))^2+(Geometry!$C$28*COS(AE36)+Geometry!$C$32*SIN(AE36)+Geometry!$C$8*Geometry!$C$30*(1-COS(AE36)))^2))))*180/PI())</f>
        <v>-13.132803272122826</v>
      </c>
    </row>
    <row r="37" spans="1:33">
      <c r="A37" s="3">
        <f>IF(Inputs!$E$9+35*Inputs!$E$11&lt;=Inputs!$E$10,Inputs!$E$9+35*Inputs!$E$11,"")</f>
        <v>-25</v>
      </c>
      <c r="B37" s="3">
        <f>IF(NOT(ISNUMBER($A37)),"",Inputs!$B$17+$A37*Inputs!$E$6/SQRT(Inputs!$E$6^2+Inputs!$E$7^2+Inputs!$E$8^2))</f>
        <v>919.87300000000005</v>
      </c>
      <c r="C37" s="3">
        <f>IF(NOT(ISNUMBER($A37)),"",Inputs!$C$17+$A37*Inputs!$E$7/SQRT(Inputs!$E$6^2+Inputs!$E$7^2+Inputs!$E$8^2))</f>
        <v>232.45400000000001</v>
      </c>
      <c r="D37" s="3">
        <f>IF(NOT(ISNUMBER($A37)),"",Inputs!$D$17+$A37*Inputs!$E$8/SQRT(Inputs!$E$6^2+Inputs!$E$7^2+Inputs!$E$8^2))</f>
        <v>182.18899999999999</v>
      </c>
      <c r="E37" s="3">
        <f>IF(NOT(ISNUMBER($A37)),"",Inputs!$B$15+Geometry!$B$15-B37)</f>
        <v>-24.932661268328502</v>
      </c>
      <c r="F37" s="3">
        <f>IF(NOT(ISNUMBER($A37)),"",Inputs!$C$15+Geometry!$B$16-C37)</f>
        <v>208.76798447238372</v>
      </c>
      <c r="G37" s="3">
        <f>IF(NOT(ISNUMBER($A37)),"",Inputs!$D$15+Geometry!$B$17-D37)</f>
        <v>11.015351937228701</v>
      </c>
      <c r="H37" s="3">
        <f>IF(NOT(ISNUMBER($A37)),"",2*(E37*Geometry!$B$18+F37*Geometry!$B$19+G37*Geometry!$B$20))</f>
        <v>9252.634451626378</v>
      </c>
      <c r="I37" s="3">
        <f>IF(NOT(ISNUMBER($A37)),"",2*(E37*Geometry!$B$21+F37*Geometry!$B$22+G37*Geometry!$B$23))</f>
        <v>62355.948256082454</v>
      </c>
      <c r="J37" s="3">
        <f>IF(NOT(ISNUMBER($A37)),"",Geometry!$B$24^2-(E37^2+F37^2+G37^2)-(Geometry!$B$18^2+Geometry!$B$19^2+Geometry!$B$20^2))</f>
        <v>-2487.215548373606</v>
      </c>
      <c r="K37" s="3">
        <f t="shared" si="10"/>
        <v>63038.682784546319</v>
      </c>
      <c r="L37" s="3">
        <f t="shared" si="11"/>
        <v>-3.9455385780734251E-2</v>
      </c>
      <c r="M37" s="3">
        <f t="shared" si="12"/>
        <v>1.4234870448224157</v>
      </c>
      <c r="N37" s="3">
        <f t="shared" si="13"/>
        <v>1.6102619566339593</v>
      </c>
      <c r="O37" s="3">
        <f>IF(M37="","",MOD(M37+Geometry!$B$47*N37+PI(),2*PI())-PI())</f>
        <v>-0.18677491181154338</v>
      </c>
      <c r="P37" s="3" t="b">
        <f t="shared" si="14"/>
        <v>1</v>
      </c>
      <c r="Q37" s="3">
        <f>IF(P37=FALSE,"",IF((Geometry!$B$28*COS(O37)+Geometry!$B$32*SIN(O37)+Geometry!$B$8*Geometry!$B$30*(1-COS(O37)))&gt;=0,1,-1)*ACOS(MAX(-1,MIN(1,(Geometry!$B$27*COS(O37)+Geometry!$B$31*SIN(O37)+Geometry!$B$7*Geometry!$B$30*(1-COS(O37)))/SQRT((Geometry!$B$27*COS(O37)+Geometry!$B$31*SIN(O37)+Geometry!$B$7*Geometry!$B$30*(1-COS(O37)))^2+(Geometry!$B$28*COS(O37)+Geometry!$B$32*SIN(O37)+Geometry!$B$8*Geometry!$B$30*(1-COS(O37)))^2))))*180/PI())</f>
        <v>-10.495156023085332</v>
      </c>
      <c r="R37" s="3">
        <f>IF(NOT(ISNUMBER($A37)),"",Inputs!$B$21+$A37*Inputs!$E$6/SQRT(Inputs!$E$6^2+Inputs!$E$7^2+Inputs!$E$8^2))</f>
        <v>919.87300000000005</v>
      </c>
      <c r="S37" s="3">
        <f>IF(NOT(ISNUMBER($A37)),"",Inputs!$C$21+$A37*Inputs!$E$7/SQRT(Inputs!$E$6^2+Inputs!$E$7^2+Inputs!$E$8^2))</f>
        <v>-282.45400000000001</v>
      </c>
      <c r="T37" s="3">
        <f>IF(NOT(ISNUMBER($A37)),"",Inputs!$D$21+$A37*Inputs!$E$8/SQRT(Inputs!$E$6^2+Inputs!$E$7^2+Inputs!$E$8^2))</f>
        <v>182.18899999999999</v>
      </c>
      <c r="U37" s="3">
        <f>IF(NOT(ISNUMBER($A37)),"",Inputs!$B$19+Geometry!$C$15-R37)</f>
        <v>-24.932661268328502</v>
      </c>
      <c r="V37" s="3">
        <f>IF(NOT(ISNUMBER($A37)),"",Inputs!$C$19+Geometry!$C$16-S37)</f>
        <v>-158.76798447238372</v>
      </c>
      <c r="W37" s="3">
        <f>IF(NOT(ISNUMBER($A37)),"",Inputs!$D$19+Geometry!$C$17-T37)</f>
        <v>11.015351937228701</v>
      </c>
      <c r="X37" s="3">
        <f>IF(NOT(ISNUMBER($A37)),"",2*(U37*Geometry!$C$18+V37*Geometry!$C$19+W37*Geometry!$C$20))</f>
        <v>5399.7328988647532</v>
      </c>
      <c r="Y37" s="3">
        <f>IF(NOT(ISNUMBER($A37)),"",2*(U37*Geometry!$C$21+V37*Geometry!$C$22+W37*Geometry!$C$23))</f>
        <v>-48031.83002882736</v>
      </c>
      <c r="Z37" s="3">
        <f>IF(NOT(ISNUMBER($A37)),"",Geometry!$C$24^2-(U37^2+V37^2+W37^2)-(Geometry!$C$18^2+Geometry!$C$19^2+Geometry!$C$20^2))</f>
        <v>15889.582898864763</v>
      </c>
      <c r="AA37" s="3">
        <f t="shared" si="15"/>
        <v>48334.395737375722</v>
      </c>
      <c r="AB37" s="3">
        <f t="shared" si="16"/>
        <v>0.32874276499080685</v>
      </c>
      <c r="AC37" s="3">
        <f t="shared" si="17"/>
        <v>-1.4588464769254603</v>
      </c>
      <c r="AD37" s="3">
        <f t="shared" si="18"/>
        <v>1.2358242857808692</v>
      </c>
      <c r="AE37" s="3">
        <f>IF(AC37="","",MOD(AC37+Geometry!$C$47*AD37+PI(),2*PI())-PI())</f>
        <v>-0.2230221911445911</v>
      </c>
      <c r="AF37" s="3" t="b">
        <f t="shared" si="19"/>
        <v>1</v>
      </c>
      <c r="AG37" s="3">
        <f>IF(AF37=FALSE,"",IF((Geometry!$C$28*COS(AE37)+Geometry!$C$32*SIN(AE37)+Geometry!$C$8*Geometry!$C$30*(1-COS(AE37)))&gt;=0,1,-1)*ACOS(MAX(-1,MIN(1,(Geometry!$C$27*COS(AE37)+Geometry!$C$31*SIN(AE37)+Geometry!$C$7*Geometry!$C$30*(1-COS(AE37)))/SQRT((Geometry!$C$27*COS(AE37)+Geometry!$C$31*SIN(AE37)+Geometry!$C$7*Geometry!$C$30*(1-COS(AE37)))^2+(Geometry!$C$28*COS(AE37)+Geometry!$C$32*SIN(AE37)+Geometry!$C$8*Geometry!$C$30*(1-COS(AE37)))^2))))*180/PI())</f>
        <v>-12.565565047020229</v>
      </c>
    </row>
    <row r="38" spans="1:33">
      <c r="A38" s="3">
        <f>IF(Inputs!$E$9+36*Inputs!$E$11&lt;=Inputs!$E$10,Inputs!$E$9+36*Inputs!$E$11,"")</f>
        <v>-24</v>
      </c>
      <c r="B38" s="3">
        <f>IF(NOT(ISNUMBER($A38)),"",Inputs!$B$17+$A38*Inputs!$E$6/SQRT(Inputs!$E$6^2+Inputs!$E$7^2+Inputs!$E$8^2))</f>
        <v>919.87300000000005</v>
      </c>
      <c r="C38" s="3">
        <f>IF(NOT(ISNUMBER($A38)),"",Inputs!$C$17+$A38*Inputs!$E$7/SQRT(Inputs!$E$6^2+Inputs!$E$7^2+Inputs!$E$8^2))</f>
        <v>233.45400000000001</v>
      </c>
      <c r="D38" s="3">
        <f>IF(NOT(ISNUMBER($A38)),"",Inputs!$D$17+$A38*Inputs!$E$8/SQRT(Inputs!$E$6^2+Inputs!$E$7^2+Inputs!$E$8^2))</f>
        <v>182.18899999999999</v>
      </c>
      <c r="E38" s="3">
        <f>IF(NOT(ISNUMBER($A38)),"",Inputs!$B$15+Geometry!$B$15-B38)</f>
        <v>-24.932661268328502</v>
      </c>
      <c r="F38" s="3">
        <f>IF(NOT(ISNUMBER($A38)),"",Inputs!$C$15+Geometry!$B$16-C38)</f>
        <v>207.76798447238372</v>
      </c>
      <c r="G38" s="3">
        <f>IF(NOT(ISNUMBER($A38)),"",Inputs!$D$15+Geometry!$B$17-D38)</f>
        <v>11.015351937228701</v>
      </c>
      <c r="H38" s="3">
        <f>IF(NOT(ISNUMBER($A38)),"",2*(E38*Geometry!$B$18+F38*Geometry!$B$19+G38*Geometry!$B$20))</f>
        <v>9175.5764205711457</v>
      </c>
      <c r="I38" s="3">
        <f>IF(NOT(ISNUMBER($A38)),"",2*(E38*Geometry!$B$21+F38*Geometry!$B$22+G38*Geometry!$B$23))</f>
        <v>62069.465891537351</v>
      </c>
      <c r="J38" s="3">
        <f>IF(NOT(ISNUMBER($A38)),"",Geometry!$B$24^2-(E38^2+F38^2+G38^2)-(Geometry!$B$18^2+Geometry!$B$19^2+Geometry!$B$20^2))</f>
        <v>-2070.679579428841</v>
      </c>
      <c r="K38" s="3">
        <f t="shared" si="10"/>
        <v>62744.002093510579</v>
      </c>
      <c r="L38" s="3">
        <f t="shared" si="11"/>
        <v>-3.300203223158768E-2</v>
      </c>
      <c r="M38" s="3">
        <f t="shared" si="12"/>
        <v>1.4240317090752348</v>
      </c>
      <c r="N38" s="3">
        <f t="shared" si="13"/>
        <v>1.6038043525710657</v>
      </c>
      <c r="O38" s="3">
        <f>IF(M38="","",MOD(M38+Geometry!$B$47*N38+PI(),2*PI())-PI())</f>
        <v>-0.17977264349583066</v>
      </c>
      <c r="P38" s="3" t="b">
        <f t="shared" si="14"/>
        <v>1</v>
      </c>
      <c r="Q38" s="3">
        <f>IF(P38=FALSE,"",IF((Geometry!$B$28*COS(O38)+Geometry!$B$32*SIN(O38)+Geometry!$B$8*Geometry!$B$30*(1-COS(O38)))&gt;=0,1,-1)*ACOS(MAX(-1,MIN(1,(Geometry!$B$27*COS(O38)+Geometry!$B$31*SIN(O38)+Geometry!$B$7*Geometry!$B$30*(1-COS(O38)))/SQRT((Geometry!$B$27*COS(O38)+Geometry!$B$31*SIN(O38)+Geometry!$B$7*Geometry!$B$30*(1-COS(O38)))^2+(Geometry!$B$28*COS(O38)+Geometry!$B$32*SIN(O38)+Geometry!$B$8*Geometry!$B$30*(1-COS(O38)))^2))))*180/PI())</f>
        <v>-10.10186244418631</v>
      </c>
      <c r="R38" s="3">
        <f>IF(NOT(ISNUMBER($A38)),"",Inputs!$B$21+$A38*Inputs!$E$6/SQRT(Inputs!$E$6^2+Inputs!$E$7^2+Inputs!$E$8^2))</f>
        <v>919.87300000000005</v>
      </c>
      <c r="S38" s="3">
        <f>IF(NOT(ISNUMBER($A38)),"",Inputs!$C$21+$A38*Inputs!$E$7/SQRT(Inputs!$E$6^2+Inputs!$E$7^2+Inputs!$E$8^2))</f>
        <v>-281.45400000000001</v>
      </c>
      <c r="T38" s="3">
        <f>IF(NOT(ISNUMBER($A38)),"",Inputs!$D$21+$A38*Inputs!$E$8/SQRT(Inputs!$E$6^2+Inputs!$E$7^2+Inputs!$E$8^2))</f>
        <v>182.18899999999999</v>
      </c>
      <c r="U38" s="3">
        <f>IF(NOT(ISNUMBER($A38)),"",Inputs!$B$19+Geometry!$C$15-R38)</f>
        <v>-24.932661268328502</v>
      </c>
      <c r="V38" s="3">
        <f>IF(NOT(ISNUMBER($A38)),"",Inputs!$C$19+Geometry!$C$16-S38)</f>
        <v>-159.76798447238372</v>
      </c>
      <c r="W38" s="3">
        <f>IF(NOT(ISNUMBER($A38)),"",Inputs!$D$19+Geometry!$C$17-T38)</f>
        <v>11.015351937228701</v>
      </c>
      <c r="X38" s="3">
        <f>IF(NOT(ISNUMBER($A38)),"",2*(U38*Geometry!$C$18+V38*Geometry!$C$19+W38*Geometry!$C$20))</f>
        <v>5476.7909299199855</v>
      </c>
      <c r="Y38" s="3">
        <f>IF(NOT(ISNUMBER($A38)),"",2*(U38*Geometry!$C$21+V38*Geometry!$C$22+W38*Geometry!$C$23))</f>
        <v>-48318.312393372464</v>
      </c>
      <c r="Z38" s="3">
        <f>IF(NOT(ISNUMBER($A38)),"",Geometry!$C$24^2-(U38^2+V38^2+W38^2)-(Geometry!$C$18^2+Geometry!$C$19^2+Geometry!$C$20^2))</f>
        <v>15571.04692991999</v>
      </c>
      <c r="AA38" s="3">
        <f t="shared" si="15"/>
        <v>48627.713820758472</v>
      </c>
      <c r="AB38" s="3">
        <f t="shared" si="16"/>
        <v>0.32020931494568711</v>
      </c>
      <c r="AC38" s="3">
        <f t="shared" si="17"/>
        <v>-1.4579299017033382</v>
      </c>
      <c r="AD38" s="3">
        <f t="shared" si="18"/>
        <v>1.2448458991563074</v>
      </c>
      <c r="AE38" s="3">
        <f>IF(AC38="","",MOD(AC38+Geometry!$C$47*AD38+PI(),2*PI())-PI())</f>
        <v>-0.21308400254703086</v>
      </c>
      <c r="AF38" s="3" t="b">
        <f t="shared" si="19"/>
        <v>1</v>
      </c>
      <c r="AG38" s="3">
        <f>IF(AF38=FALSE,"",IF((Geometry!$C$28*COS(AE38)+Geometry!$C$32*SIN(AE38)+Geometry!$C$8*Geometry!$C$30*(1-COS(AE38)))&gt;=0,1,-1)*ACOS(MAX(-1,MIN(1,(Geometry!$C$27*COS(AE38)+Geometry!$C$31*SIN(AE38)+Geometry!$C$7*Geometry!$C$30*(1-COS(AE38)))/SQRT((Geometry!$C$27*COS(AE38)+Geometry!$C$31*SIN(AE38)+Geometry!$C$7*Geometry!$C$30*(1-COS(AE38)))^2+(Geometry!$C$28*COS(AE38)+Geometry!$C$32*SIN(AE38)+Geometry!$C$8*Geometry!$C$30*(1-COS(AE38)))^2))))*180/PI())</f>
        <v>-12.0044306247351</v>
      </c>
    </row>
    <row r="39" spans="1:33">
      <c r="A39" s="3">
        <f>IF(Inputs!$E$9+37*Inputs!$E$11&lt;=Inputs!$E$10,Inputs!$E$9+37*Inputs!$E$11,"")</f>
        <v>-23</v>
      </c>
      <c r="B39" s="3">
        <f>IF(NOT(ISNUMBER($A39)),"",Inputs!$B$17+$A39*Inputs!$E$6/SQRT(Inputs!$E$6^2+Inputs!$E$7^2+Inputs!$E$8^2))</f>
        <v>919.87300000000005</v>
      </c>
      <c r="C39" s="3">
        <f>IF(NOT(ISNUMBER($A39)),"",Inputs!$C$17+$A39*Inputs!$E$7/SQRT(Inputs!$E$6^2+Inputs!$E$7^2+Inputs!$E$8^2))</f>
        <v>234.45400000000001</v>
      </c>
      <c r="D39" s="3">
        <f>IF(NOT(ISNUMBER($A39)),"",Inputs!$D$17+$A39*Inputs!$E$8/SQRT(Inputs!$E$6^2+Inputs!$E$7^2+Inputs!$E$8^2))</f>
        <v>182.18899999999999</v>
      </c>
      <c r="E39" s="3">
        <f>IF(NOT(ISNUMBER($A39)),"",Inputs!$B$15+Geometry!$B$15-B39)</f>
        <v>-24.932661268328502</v>
      </c>
      <c r="F39" s="3">
        <f>IF(NOT(ISNUMBER($A39)),"",Inputs!$C$15+Geometry!$B$16-C39)</f>
        <v>206.76798447238372</v>
      </c>
      <c r="G39" s="3">
        <f>IF(NOT(ISNUMBER($A39)),"",Inputs!$D$15+Geometry!$B$17-D39)</f>
        <v>11.015351937228701</v>
      </c>
      <c r="H39" s="3">
        <f>IF(NOT(ISNUMBER($A39)),"",2*(E39*Geometry!$B$18+F39*Geometry!$B$19+G39*Geometry!$B$20))</f>
        <v>9098.5183895159134</v>
      </c>
      <c r="I39" s="3">
        <f>IF(NOT(ISNUMBER($A39)),"",2*(E39*Geometry!$B$21+F39*Geometry!$B$22+G39*Geometry!$B$23))</f>
        <v>61782.983526992248</v>
      </c>
      <c r="J39" s="3">
        <f>IF(NOT(ISNUMBER($A39)),"",Geometry!$B$24^2-(E39^2+F39^2+G39^2)-(Geometry!$B$18^2+Geometry!$B$19^2+Geometry!$B$20^2))</f>
        <v>-1656.1436104840759</v>
      </c>
      <c r="K39" s="3">
        <f t="shared" si="10"/>
        <v>62449.340191718235</v>
      </c>
      <c r="L39" s="3">
        <f t="shared" si="11"/>
        <v>-2.6519793570272288E-2</v>
      </c>
      <c r="M39" s="3">
        <f t="shared" si="12"/>
        <v>1.4245815133963742</v>
      </c>
      <c r="N39" s="3">
        <f t="shared" si="13"/>
        <v>1.5973192299087691</v>
      </c>
      <c r="O39" s="3">
        <f>IF(M39="","",MOD(M39+Geometry!$B$47*N39+PI(),2*PI())-PI())</f>
        <v>-0.17273771651239489</v>
      </c>
      <c r="P39" s="3" t="b">
        <f t="shared" si="14"/>
        <v>1</v>
      </c>
      <c r="Q39" s="3">
        <f>IF(P39=FALSE,"",IF((Geometry!$B$28*COS(O39)+Geometry!$B$32*SIN(O39)+Geometry!$B$8*Geometry!$B$30*(1-COS(O39)))&gt;=0,1,-1)*ACOS(MAX(-1,MIN(1,(Geometry!$B$27*COS(O39)+Geometry!$B$31*SIN(O39)+Geometry!$B$7*Geometry!$B$30*(1-COS(O39)))/SQRT((Geometry!$B$27*COS(O39)+Geometry!$B$31*SIN(O39)+Geometry!$B$7*Geometry!$B$30*(1-COS(O39)))^2+(Geometry!$B$28*COS(O39)+Geometry!$B$32*SIN(O39)+Geometry!$B$8*Geometry!$B$30*(1-COS(O39)))^2))))*180/PI())</f>
        <v>-9.7067317030843032</v>
      </c>
      <c r="R39" s="3">
        <f>IF(NOT(ISNUMBER($A39)),"",Inputs!$B$21+$A39*Inputs!$E$6/SQRT(Inputs!$E$6^2+Inputs!$E$7^2+Inputs!$E$8^2))</f>
        <v>919.87300000000005</v>
      </c>
      <c r="S39" s="3">
        <f>IF(NOT(ISNUMBER($A39)),"",Inputs!$C$21+$A39*Inputs!$E$7/SQRT(Inputs!$E$6^2+Inputs!$E$7^2+Inputs!$E$8^2))</f>
        <v>-280.45400000000001</v>
      </c>
      <c r="T39" s="3">
        <f>IF(NOT(ISNUMBER($A39)),"",Inputs!$D$21+$A39*Inputs!$E$8/SQRT(Inputs!$E$6^2+Inputs!$E$7^2+Inputs!$E$8^2))</f>
        <v>182.18899999999999</v>
      </c>
      <c r="U39" s="3">
        <f>IF(NOT(ISNUMBER($A39)),"",Inputs!$B$19+Geometry!$C$15-R39)</f>
        <v>-24.932661268328502</v>
      </c>
      <c r="V39" s="3">
        <f>IF(NOT(ISNUMBER($A39)),"",Inputs!$C$19+Geometry!$C$16-S39)</f>
        <v>-160.76798447238372</v>
      </c>
      <c r="W39" s="3">
        <f>IF(NOT(ISNUMBER($A39)),"",Inputs!$D$19+Geometry!$C$17-T39)</f>
        <v>11.015351937228701</v>
      </c>
      <c r="X39" s="3">
        <f>IF(NOT(ISNUMBER($A39)),"",2*(U39*Geometry!$C$18+V39*Geometry!$C$19+W39*Geometry!$C$20))</f>
        <v>5553.8489609752178</v>
      </c>
      <c r="Y39" s="3">
        <f>IF(NOT(ISNUMBER($A39)),"",2*(U39*Geometry!$C$21+V39*Geometry!$C$22+W39*Geometry!$C$23))</f>
        <v>-48604.794757917567</v>
      </c>
      <c r="Z39" s="3">
        <f>IF(NOT(ISNUMBER($A39)),"",Geometry!$C$24^2-(U39^2+V39^2+W39^2)-(Geometry!$C$18^2+Geometry!$C$19^2+Geometry!$C$20^2))</f>
        <v>15250.510960975225</v>
      </c>
      <c r="AA39" s="3">
        <f t="shared" si="15"/>
        <v>48921.07226687306</v>
      </c>
      <c r="AB39" s="3">
        <f t="shared" si="16"/>
        <v>0.31173705428574838</v>
      </c>
      <c r="AC39" s="3">
        <f t="shared" si="17"/>
        <v>-1.4570243183359184</v>
      </c>
      <c r="AD39" s="3">
        <f t="shared" si="18"/>
        <v>1.253775687154429</v>
      </c>
      <c r="AE39" s="3">
        <f>IF(AC39="","",MOD(AC39+Geometry!$C$47*AD39+PI(),2*PI())-PI())</f>
        <v>-0.20324863118148961</v>
      </c>
      <c r="AF39" s="3" t="b">
        <f t="shared" si="19"/>
        <v>1</v>
      </c>
      <c r="AG39" s="3">
        <f>IF(AF39=FALSE,"",IF((Geometry!$C$28*COS(AE39)+Geometry!$C$32*SIN(AE39)+Geometry!$C$8*Geometry!$C$30*(1-COS(AE39)))&gt;=0,1,-1)*ACOS(MAX(-1,MIN(1,(Geometry!$C$27*COS(AE39)+Geometry!$C$31*SIN(AE39)+Geometry!$C$7*Geometry!$C$30*(1-COS(AE39)))/SQRT((Geometry!$C$27*COS(AE39)+Geometry!$C$31*SIN(AE39)+Geometry!$C$7*Geometry!$C$30*(1-COS(AE39)))^2+(Geometry!$C$28*COS(AE39)+Geometry!$C$32*SIN(AE39)+Geometry!$C$8*Geometry!$C$30*(1-COS(AE39)))^2))))*180/PI())</f>
        <v>-11.449227041613382</v>
      </c>
    </row>
    <row r="40" spans="1:33">
      <c r="A40" s="3">
        <f>IF(Inputs!$E$9+38*Inputs!$E$11&lt;=Inputs!$E$10,Inputs!$E$9+38*Inputs!$E$11,"")</f>
        <v>-22</v>
      </c>
      <c r="B40" s="3">
        <f>IF(NOT(ISNUMBER($A40)),"",Inputs!$B$17+$A40*Inputs!$E$6/SQRT(Inputs!$E$6^2+Inputs!$E$7^2+Inputs!$E$8^2))</f>
        <v>919.87300000000005</v>
      </c>
      <c r="C40" s="3">
        <f>IF(NOT(ISNUMBER($A40)),"",Inputs!$C$17+$A40*Inputs!$E$7/SQRT(Inputs!$E$6^2+Inputs!$E$7^2+Inputs!$E$8^2))</f>
        <v>235.45400000000001</v>
      </c>
      <c r="D40" s="3">
        <f>IF(NOT(ISNUMBER($A40)),"",Inputs!$D$17+$A40*Inputs!$E$8/SQRT(Inputs!$E$6^2+Inputs!$E$7^2+Inputs!$E$8^2))</f>
        <v>182.18899999999999</v>
      </c>
      <c r="E40" s="3">
        <f>IF(NOT(ISNUMBER($A40)),"",Inputs!$B$15+Geometry!$B$15-B40)</f>
        <v>-24.932661268328502</v>
      </c>
      <c r="F40" s="3">
        <f>IF(NOT(ISNUMBER($A40)),"",Inputs!$C$15+Geometry!$B$16-C40)</f>
        <v>205.76798447238372</v>
      </c>
      <c r="G40" s="3">
        <f>IF(NOT(ISNUMBER($A40)),"",Inputs!$D$15+Geometry!$B$17-D40)</f>
        <v>11.015351937228701</v>
      </c>
      <c r="H40" s="3">
        <f>IF(NOT(ISNUMBER($A40)),"",2*(E40*Geometry!$B$18+F40*Geometry!$B$19+G40*Geometry!$B$20))</f>
        <v>9021.4603584606812</v>
      </c>
      <c r="I40" s="3">
        <f>IF(NOT(ISNUMBER($A40)),"",2*(E40*Geometry!$B$21+F40*Geometry!$B$22+G40*Geometry!$B$23))</f>
        <v>61496.501162447144</v>
      </c>
      <c r="J40" s="3">
        <f>IF(NOT(ISNUMBER($A40)),"",Geometry!$B$24^2-(E40^2+F40^2+G40^2)-(Geometry!$B$18^2+Geometry!$B$19^2+Geometry!$B$20^2))</f>
        <v>-1243.6076415393036</v>
      </c>
      <c r="K40" s="3">
        <f t="shared" si="10"/>
        <v>62154.697346396439</v>
      </c>
      <c r="L40" s="3">
        <f t="shared" si="11"/>
        <v>-2.000826477536383E-2</v>
      </c>
      <c r="M40" s="3">
        <f t="shared" si="12"/>
        <v>1.4251365305548918</v>
      </c>
      <c r="N40" s="3">
        <f t="shared" si="13"/>
        <v>1.5908059267977857</v>
      </c>
      <c r="O40" s="3">
        <f>IF(M40="","",MOD(M40+Geometry!$B$47*N40+PI(),2*PI())-PI())</f>
        <v>-0.1656693962428939</v>
      </c>
      <c r="P40" s="3" t="b">
        <f t="shared" si="14"/>
        <v>1</v>
      </c>
      <c r="Q40" s="3">
        <f>IF(P40=FALSE,"",IF((Geometry!$B$28*COS(O40)+Geometry!$B$32*SIN(O40)+Geometry!$B$8*Geometry!$B$30*(1-COS(O40)))&gt;=0,1,-1)*ACOS(MAX(-1,MIN(1,(Geometry!$B$27*COS(O40)+Geometry!$B$31*SIN(O40)+Geometry!$B$7*Geometry!$B$30*(1-COS(O40)))/SQRT((Geometry!$B$27*COS(O40)+Geometry!$B$31*SIN(O40)+Geometry!$B$7*Geometry!$B$30*(1-COS(O40)))^2+(Geometry!$B$28*COS(O40)+Geometry!$B$32*SIN(O40)+Geometry!$B$8*Geometry!$B$30*(1-COS(O40)))^2))))*180/PI())</f>
        <v>-9.3097211202986383</v>
      </c>
      <c r="R40" s="3">
        <f>IF(NOT(ISNUMBER($A40)),"",Inputs!$B$21+$A40*Inputs!$E$6/SQRT(Inputs!$E$6^2+Inputs!$E$7^2+Inputs!$E$8^2))</f>
        <v>919.87300000000005</v>
      </c>
      <c r="S40" s="3">
        <f>IF(NOT(ISNUMBER($A40)),"",Inputs!$C$21+$A40*Inputs!$E$7/SQRT(Inputs!$E$6^2+Inputs!$E$7^2+Inputs!$E$8^2))</f>
        <v>-279.45400000000001</v>
      </c>
      <c r="T40" s="3">
        <f>IF(NOT(ISNUMBER($A40)),"",Inputs!$D$21+$A40*Inputs!$E$8/SQRT(Inputs!$E$6^2+Inputs!$E$7^2+Inputs!$E$8^2))</f>
        <v>182.18899999999999</v>
      </c>
      <c r="U40" s="3">
        <f>IF(NOT(ISNUMBER($A40)),"",Inputs!$B$19+Geometry!$C$15-R40)</f>
        <v>-24.932661268328502</v>
      </c>
      <c r="V40" s="3">
        <f>IF(NOT(ISNUMBER($A40)),"",Inputs!$C$19+Geometry!$C$16-S40)</f>
        <v>-161.76798447238372</v>
      </c>
      <c r="W40" s="3">
        <f>IF(NOT(ISNUMBER($A40)),"",Inputs!$D$19+Geometry!$C$17-T40)</f>
        <v>11.015351937228701</v>
      </c>
      <c r="X40" s="3">
        <f>IF(NOT(ISNUMBER($A40)),"",2*(U40*Geometry!$C$18+V40*Geometry!$C$19+W40*Geometry!$C$20))</f>
        <v>5630.9069920304519</v>
      </c>
      <c r="Y40" s="3">
        <f>IF(NOT(ISNUMBER($A40)),"",2*(U40*Geometry!$C$21+V40*Geometry!$C$22+W40*Geometry!$C$23))</f>
        <v>-48891.27712246267</v>
      </c>
      <c r="Z40" s="3">
        <f>IF(NOT(ISNUMBER($A40)),"",Geometry!$C$24^2-(U40^2+V40^2+W40^2)-(Geometry!$C$18^2+Geometry!$C$19^2+Geometry!$C$20^2))</f>
        <v>14927.97499203046</v>
      </c>
      <c r="AA40" s="3">
        <f t="shared" si="15"/>
        <v>49214.470353934921</v>
      </c>
      <c r="AB40" s="3">
        <f t="shared" si="16"/>
        <v>0.30332491408874629</v>
      </c>
      <c r="AC40" s="3">
        <f t="shared" si="17"/>
        <v>-1.4561295317340841</v>
      </c>
      <c r="AD40" s="3">
        <f t="shared" si="18"/>
        <v>1.2626162963363057</v>
      </c>
      <c r="AE40" s="3">
        <f>IF(AC40="","",MOD(AC40+Geometry!$C$47*AD40+PI(),2*PI())-PI())</f>
        <v>-0.19351323539777843</v>
      </c>
      <c r="AF40" s="3" t="b">
        <f t="shared" si="19"/>
        <v>1</v>
      </c>
      <c r="AG40" s="3">
        <f>IF(AF40=FALSE,"",IF((Geometry!$C$28*COS(AE40)+Geometry!$C$32*SIN(AE40)+Geometry!$C$8*Geometry!$C$30*(1-COS(AE40)))&gt;=0,1,-1)*ACOS(MAX(-1,MIN(1,(Geometry!$C$27*COS(AE40)+Geometry!$C$31*SIN(AE40)+Geometry!$C$7*Geometry!$C$30*(1-COS(AE40)))/SQRT((Geometry!$C$27*COS(AE40)+Geometry!$C$31*SIN(AE40)+Geometry!$C$7*Geometry!$C$30*(1-COS(AE40)))^2+(Geometry!$C$28*COS(AE40)+Geometry!$C$32*SIN(AE40)+Geometry!$C$8*Geometry!$C$30*(1-COS(AE40)))^2))))*180/PI())</f>
        <v>-10.899788065429973</v>
      </c>
    </row>
    <row r="41" spans="1:33">
      <c r="A41" s="3">
        <f>IF(Inputs!$E$9+39*Inputs!$E$11&lt;=Inputs!$E$10,Inputs!$E$9+39*Inputs!$E$11,"")</f>
        <v>-21</v>
      </c>
      <c r="B41" s="3">
        <f>IF(NOT(ISNUMBER($A41)),"",Inputs!$B$17+$A41*Inputs!$E$6/SQRT(Inputs!$E$6^2+Inputs!$E$7^2+Inputs!$E$8^2))</f>
        <v>919.87300000000005</v>
      </c>
      <c r="C41" s="3">
        <f>IF(NOT(ISNUMBER($A41)),"",Inputs!$C$17+$A41*Inputs!$E$7/SQRT(Inputs!$E$6^2+Inputs!$E$7^2+Inputs!$E$8^2))</f>
        <v>236.45400000000001</v>
      </c>
      <c r="D41" s="3">
        <f>IF(NOT(ISNUMBER($A41)),"",Inputs!$D$17+$A41*Inputs!$E$8/SQRT(Inputs!$E$6^2+Inputs!$E$7^2+Inputs!$E$8^2))</f>
        <v>182.18899999999999</v>
      </c>
      <c r="E41" s="3">
        <f>IF(NOT(ISNUMBER($A41)),"",Inputs!$B$15+Geometry!$B$15-B41)</f>
        <v>-24.932661268328502</v>
      </c>
      <c r="F41" s="3">
        <f>IF(NOT(ISNUMBER($A41)),"",Inputs!$C$15+Geometry!$B$16-C41)</f>
        <v>204.76798447238372</v>
      </c>
      <c r="G41" s="3">
        <f>IF(NOT(ISNUMBER($A41)),"",Inputs!$D$15+Geometry!$B$17-D41)</f>
        <v>11.015351937228701</v>
      </c>
      <c r="H41" s="3">
        <f>IF(NOT(ISNUMBER($A41)),"",2*(E41*Geometry!$B$18+F41*Geometry!$B$19+G41*Geometry!$B$20))</f>
        <v>8944.4023274054489</v>
      </c>
      <c r="I41" s="3">
        <f>IF(NOT(ISNUMBER($A41)),"",2*(E41*Geometry!$B$21+F41*Geometry!$B$22+G41*Geometry!$B$23))</f>
        <v>61210.018797902041</v>
      </c>
      <c r="J41" s="3">
        <f>IF(NOT(ISNUMBER($A41)),"",Geometry!$B$24^2-(E41^2+F41^2+G41^2)-(Geometry!$B$18^2+Geometry!$B$19^2+Geometry!$B$20^2))</f>
        <v>-833.07167259453854</v>
      </c>
      <c r="K41" s="3">
        <f t="shared" si="10"/>
        <v>61860.073829846151</v>
      </c>
      <c r="L41" s="3">
        <f t="shared" si="11"/>
        <v>-1.3467033273933783E-2</v>
      </c>
      <c r="M41" s="3">
        <f t="shared" si="12"/>
        <v>1.4256968346934531</v>
      </c>
      <c r="N41" s="3">
        <f t="shared" si="13"/>
        <v>1.5842637671677926</v>
      </c>
      <c r="O41" s="3">
        <f>IF(M41="","",MOD(M41+Geometry!$B$47*N41+PI(),2*PI())-PI())</f>
        <v>-0.15856693247433951</v>
      </c>
      <c r="P41" s="3" t="b">
        <f t="shared" si="14"/>
        <v>1</v>
      </c>
      <c r="Q41" s="3">
        <f>IF(P41=FALSE,"",IF((Geometry!$B$28*COS(O41)+Geometry!$B$32*SIN(O41)+Geometry!$B$8*Geometry!$B$30*(1-COS(O41)))&gt;=0,1,-1)*ACOS(MAX(-1,MIN(1,(Geometry!$B$27*COS(O41)+Geometry!$B$31*SIN(O41)+Geometry!$B$7*Geometry!$B$30*(1-COS(O41)))/SQRT((Geometry!$B$27*COS(O41)+Geometry!$B$31*SIN(O41)+Geometry!$B$7*Geometry!$B$30*(1-COS(O41)))^2+(Geometry!$B$28*COS(O41)+Geometry!$B$32*SIN(O41)+Geometry!$B$8*Geometry!$B$30*(1-COS(O41)))^2))))*180/PI())</f>
        <v>-8.9107871055861718</v>
      </c>
      <c r="R41" s="3">
        <f>IF(NOT(ISNUMBER($A41)),"",Inputs!$B$21+$A41*Inputs!$E$6/SQRT(Inputs!$E$6^2+Inputs!$E$7^2+Inputs!$E$8^2))</f>
        <v>919.87300000000005</v>
      </c>
      <c r="S41" s="3">
        <f>IF(NOT(ISNUMBER($A41)),"",Inputs!$C$21+$A41*Inputs!$E$7/SQRT(Inputs!$E$6^2+Inputs!$E$7^2+Inputs!$E$8^2))</f>
        <v>-278.45400000000001</v>
      </c>
      <c r="T41" s="3">
        <f>IF(NOT(ISNUMBER($A41)),"",Inputs!$D$21+$A41*Inputs!$E$8/SQRT(Inputs!$E$6^2+Inputs!$E$7^2+Inputs!$E$8^2))</f>
        <v>182.18899999999999</v>
      </c>
      <c r="U41" s="3">
        <f>IF(NOT(ISNUMBER($A41)),"",Inputs!$B$19+Geometry!$C$15-R41)</f>
        <v>-24.932661268328502</v>
      </c>
      <c r="V41" s="3">
        <f>IF(NOT(ISNUMBER($A41)),"",Inputs!$C$19+Geometry!$C$16-S41)</f>
        <v>-162.76798447238372</v>
      </c>
      <c r="W41" s="3">
        <f>IF(NOT(ISNUMBER($A41)),"",Inputs!$D$19+Geometry!$C$17-T41)</f>
        <v>11.015351937228701</v>
      </c>
      <c r="X41" s="3">
        <f>IF(NOT(ISNUMBER($A41)),"",2*(U41*Geometry!$C$18+V41*Geometry!$C$19+W41*Geometry!$C$20))</f>
        <v>5707.9650230856842</v>
      </c>
      <c r="Y41" s="3">
        <f>IF(NOT(ISNUMBER($A41)),"",2*(U41*Geometry!$C$21+V41*Geometry!$C$22+W41*Geometry!$C$23))</f>
        <v>-49177.759487007774</v>
      </c>
      <c r="Z41" s="3">
        <f>IF(NOT(ISNUMBER($A41)),"",Geometry!$C$24^2-(U41^2+V41^2+W41^2)-(Geometry!$C$18^2+Geometry!$C$19^2+Geometry!$C$20^2))</f>
        <v>14603.439023085695</v>
      </c>
      <c r="AA41" s="3">
        <f t="shared" si="15"/>
        <v>49507.90737717312</v>
      </c>
      <c r="AB41" s="3">
        <f t="shared" si="16"/>
        <v>0.29497184988713504</v>
      </c>
      <c r="AC41" s="3">
        <f t="shared" si="17"/>
        <v>-1.4552453513638532</v>
      </c>
      <c r="AD41" s="3">
        <f t="shared" si="18"/>
        <v>1.2713702692088105</v>
      </c>
      <c r="AE41" s="3">
        <f>IF(AC41="","",MOD(AC41+Geometry!$C$47*AD41+PI(),2*PI())-PI())</f>
        <v>-0.18387508215504278</v>
      </c>
      <c r="AF41" s="3" t="b">
        <f t="shared" si="19"/>
        <v>1</v>
      </c>
      <c r="AG41" s="3">
        <f>IF(AF41=FALSE,"",IF((Geometry!$C$28*COS(AE41)+Geometry!$C$32*SIN(AE41)+Geometry!$C$8*Geometry!$C$30*(1-COS(AE41)))&gt;=0,1,-1)*ACOS(MAX(-1,MIN(1,(Geometry!$C$27*COS(AE41)+Geometry!$C$31*SIN(AE41)+Geometry!$C$7*Geometry!$C$30*(1-COS(AE41)))/SQRT((Geometry!$C$27*COS(AE41)+Geometry!$C$31*SIN(AE41)+Geometry!$C$7*Geometry!$C$30*(1-COS(AE41)))^2+(Geometry!$C$28*COS(AE41)+Geometry!$C$32*SIN(AE41)+Geometry!$C$8*Geometry!$C$30*(1-COS(AE41)))^2))))*180/PI())</f>
        <v>-10.35595383203815</v>
      </c>
    </row>
    <row r="42" spans="1:33">
      <c r="A42" s="3">
        <f>IF(Inputs!$E$9+40*Inputs!$E$11&lt;=Inputs!$E$10,Inputs!$E$9+40*Inputs!$E$11,"")</f>
        <v>-20</v>
      </c>
      <c r="B42" s="3">
        <f>IF(NOT(ISNUMBER($A42)),"",Inputs!$B$17+$A42*Inputs!$E$6/SQRT(Inputs!$E$6^2+Inputs!$E$7^2+Inputs!$E$8^2))</f>
        <v>919.87300000000005</v>
      </c>
      <c r="C42" s="3">
        <f>IF(NOT(ISNUMBER($A42)),"",Inputs!$C$17+$A42*Inputs!$E$7/SQRT(Inputs!$E$6^2+Inputs!$E$7^2+Inputs!$E$8^2))</f>
        <v>237.45400000000001</v>
      </c>
      <c r="D42" s="3">
        <f>IF(NOT(ISNUMBER($A42)),"",Inputs!$D$17+$A42*Inputs!$E$8/SQRT(Inputs!$E$6^2+Inputs!$E$7^2+Inputs!$E$8^2))</f>
        <v>182.18899999999999</v>
      </c>
      <c r="E42" s="3">
        <f>IF(NOT(ISNUMBER($A42)),"",Inputs!$B$15+Geometry!$B$15-B42)</f>
        <v>-24.932661268328502</v>
      </c>
      <c r="F42" s="3">
        <f>IF(NOT(ISNUMBER($A42)),"",Inputs!$C$15+Geometry!$B$16-C42)</f>
        <v>203.76798447238372</v>
      </c>
      <c r="G42" s="3">
        <f>IF(NOT(ISNUMBER($A42)),"",Inputs!$D$15+Geometry!$B$17-D42)</f>
        <v>11.015351937228701</v>
      </c>
      <c r="H42" s="3">
        <f>IF(NOT(ISNUMBER($A42)),"",2*(E42*Geometry!$B$18+F42*Geometry!$B$19+G42*Geometry!$B$20))</f>
        <v>8867.3442963502166</v>
      </c>
      <c r="I42" s="3">
        <f>IF(NOT(ISNUMBER($A42)),"",2*(E42*Geometry!$B$21+F42*Geometry!$B$22+G42*Geometry!$B$23))</f>
        <v>60923.536433356945</v>
      </c>
      <c r="J42" s="3">
        <f>IF(NOT(ISNUMBER($A42)),"",Geometry!$B$24^2-(E42^2+F42^2+G42^2)-(Geometry!$B$18^2+Geometry!$B$19^2+Geometry!$B$20^2))</f>
        <v>-424.5357036497735</v>
      </c>
      <c r="K42" s="3">
        <f t="shared" si="10"/>
        <v>61565.469919562755</v>
      </c>
      <c r="L42" s="3">
        <f t="shared" si="11"/>
        <v>-6.8956787661077368E-3</v>
      </c>
      <c r="M42" s="3">
        <f t="shared" si="12"/>
        <v>1.4262625013607386</v>
      </c>
      <c r="N42" s="3">
        <f t="shared" si="13"/>
        <v>1.5776920602108711</v>
      </c>
      <c r="O42" s="3">
        <f>IF(M42="","",MOD(M42+Geometry!$B$47*N42+PI(),2*PI())-PI())</f>
        <v>-0.15142955885013265</v>
      </c>
      <c r="P42" s="3" t="b">
        <f t="shared" si="14"/>
        <v>1</v>
      </c>
      <c r="Q42" s="3">
        <f>IF(P42=FALSE,"",IF((Geometry!$B$28*COS(O42)+Geometry!$B$32*SIN(O42)+Geometry!$B$8*Geometry!$B$30*(1-COS(O42)))&gt;=0,1,-1)*ACOS(MAX(-1,MIN(1,(Geometry!$B$27*COS(O42)+Geometry!$B$31*SIN(O42)+Geometry!$B$7*Geometry!$B$30*(1-COS(O42)))/SQRT((Geometry!$B$27*COS(O42)+Geometry!$B$31*SIN(O42)+Geometry!$B$7*Geometry!$B$30*(1-COS(O42)))^2+(Geometry!$B$28*COS(O42)+Geometry!$B$32*SIN(O42)+Geometry!$B$8*Geometry!$B$30*(1-COS(O42)))^2))))*180/PI())</f>
        <v>-8.5098851256334456</v>
      </c>
      <c r="R42" s="3">
        <f>IF(NOT(ISNUMBER($A42)),"",Inputs!$B$21+$A42*Inputs!$E$6/SQRT(Inputs!$E$6^2+Inputs!$E$7^2+Inputs!$E$8^2))</f>
        <v>919.87300000000005</v>
      </c>
      <c r="S42" s="3">
        <f>IF(NOT(ISNUMBER($A42)),"",Inputs!$C$21+$A42*Inputs!$E$7/SQRT(Inputs!$E$6^2+Inputs!$E$7^2+Inputs!$E$8^2))</f>
        <v>-277.45400000000001</v>
      </c>
      <c r="T42" s="3">
        <f>IF(NOT(ISNUMBER($A42)),"",Inputs!$D$21+$A42*Inputs!$E$8/SQRT(Inputs!$E$6^2+Inputs!$E$7^2+Inputs!$E$8^2))</f>
        <v>182.18899999999999</v>
      </c>
      <c r="U42" s="3">
        <f>IF(NOT(ISNUMBER($A42)),"",Inputs!$B$19+Geometry!$C$15-R42)</f>
        <v>-24.932661268328502</v>
      </c>
      <c r="V42" s="3">
        <f>IF(NOT(ISNUMBER($A42)),"",Inputs!$C$19+Geometry!$C$16-S42)</f>
        <v>-163.76798447238372</v>
      </c>
      <c r="W42" s="3">
        <f>IF(NOT(ISNUMBER($A42)),"",Inputs!$D$19+Geometry!$C$17-T42)</f>
        <v>11.015351937228701</v>
      </c>
      <c r="X42" s="3">
        <f>IF(NOT(ISNUMBER($A42)),"",2*(U42*Geometry!$C$18+V42*Geometry!$C$19+W42*Geometry!$C$20))</f>
        <v>5785.0230541409164</v>
      </c>
      <c r="Y42" s="3">
        <f>IF(NOT(ISNUMBER($A42)),"",2*(U42*Geometry!$C$21+V42*Geometry!$C$22+W42*Geometry!$C$23))</f>
        <v>-49464.24185155287</v>
      </c>
      <c r="Z42" s="3">
        <f>IF(NOT(ISNUMBER($A42)),"",Geometry!$C$24^2-(U42^2+V42^2+W42^2)-(Geometry!$C$18^2+Geometry!$C$19^2+Geometry!$C$20^2))</f>
        <v>14276.90305414093</v>
      </c>
      <c r="AA42" s="3">
        <f t="shared" si="15"/>
        <v>49801.382648334737</v>
      </c>
      <c r="AB42" s="3">
        <f t="shared" si="16"/>
        <v>0.28667684098160923</v>
      </c>
      <c r="AC42" s="3">
        <f t="shared" si="17"/>
        <v>-1.4543715911152133</v>
      </c>
      <c r="AD42" s="3">
        <f t="shared" si="18"/>
        <v>1.2800400498801767</v>
      </c>
      <c r="AE42" s="3">
        <f>IF(AC42="","",MOD(AC42+Geometry!$C$47*AD42+PI(),2*PI())-PI())</f>
        <v>-0.1743315412350368</v>
      </c>
      <c r="AF42" s="3" t="b">
        <f t="shared" si="19"/>
        <v>1</v>
      </c>
      <c r="AG42" s="3">
        <f>IF(AF42=FALSE,"",IF((Geometry!$C$28*COS(AE42)+Geometry!$C$32*SIN(AE42)+Geometry!$C$8*Geometry!$C$30*(1-COS(AE42)))&gt;=0,1,-1)*ACOS(MAX(-1,MIN(1,(Geometry!$C$27*COS(AE42)+Geometry!$C$31*SIN(AE42)+Geometry!$C$7*Geometry!$C$30*(1-COS(AE42)))/SQRT((Geometry!$C$27*COS(AE42)+Geometry!$C$31*SIN(AE42)+Geometry!$C$7*Geometry!$C$30*(1-COS(AE42)))^2+(Geometry!$C$28*COS(AE42)+Geometry!$C$32*SIN(AE42)+Geometry!$C$8*Geometry!$C$30*(1-COS(AE42)))^2))))*180/PI())</f>
        <v>-9.8175705069340662</v>
      </c>
    </row>
    <row r="43" spans="1:33">
      <c r="A43" s="3">
        <f>IF(Inputs!$E$9+41*Inputs!$E$11&lt;=Inputs!$E$10,Inputs!$E$9+41*Inputs!$E$11,"")</f>
        <v>-19</v>
      </c>
      <c r="B43" s="3">
        <f>IF(NOT(ISNUMBER($A43)),"",Inputs!$B$17+$A43*Inputs!$E$6/SQRT(Inputs!$E$6^2+Inputs!$E$7^2+Inputs!$E$8^2))</f>
        <v>919.87300000000005</v>
      </c>
      <c r="C43" s="3">
        <f>IF(NOT(ISNUMBER($A43)),"",Inputs!$C$17+$A43*Inputs!$E$7/SQRT(Inputs!$E$6^2+Inputs!$E$7^2+Inputs!$E$8^2))</f>
        <v>238.45400000000001</v>
      </c>
      <c r="D43" s="3">
        <f>IF(NOT(ISNUMBER($A43)),"",Inputs!$D$17+$A43*Inputs!$E$8/SQRT(Inputs!$E$6^2+Inputs!$E$7^2+Inputs!$E$8^2))</f>
        <v>182.18899999999999</v>
      </c>
      <c r="E43" s="3">
        <f>IF(NOT(ISNUMBER($A43)),"",Inputs!$B$15+Geometry!$B$15-B43)</f>
        <v>-24.932661268328502</v>
      </c>
      <c r="F43" s="3">
        <f>IF(NOT(ISNUMBER($A43)),"",Inputs!$C$15+Geometry!$B$16-C43)</f>
        <v>202.76798447238372</v>
      </c>
      <c r="G43" s="3">
        <f>IF(NOT(ISNUMBER($A43)),"",Inputs!$D$15+Geometry!$B$17-D43)</f>
        <v>11.015351937228701</v>
      </c>
      <c r="H43" s="3">
        <f>IF(NOT(ISNUMBER($A43)),"",2*(E43*Geometry!$B$18+F43*Geometry!$B$19+G43*Geometry!$B$20))</f>
        <v>8790.2862652949843</v>
      </c>
      <c r="I43" s="3">
        <f>IF(NOT(ISNUMBER($A43)),"",2*(E43*Geometry!$B$21+F43*Geometry!$B$22+G43*Geometry!$B$23))</f>
        <v>60637.054068811842</v>
      </c>
      <c r="J43" s="3">
        <f>IF(NOT(ISNUMBER($A43)),"",Geometry!$B$24^2-(E43^2+F43^2+G43^2)-(Geometry!$B$18^2+Geometry!$B$19^2+Geometry!$B$20^2))</f>
        <v>-17.99973470500845</v>
      </c>
      <c r="K43" s="3">
        <f t="shared" si="10"/>
        <v>61270.885898359949</v>
      </c>
      <c r="L43" s="3">
        <f t="shared" si="11"/>
        <v>-2.937730447519162E-4</v>
      </c>
      <c r="M43" s="3">
        <f t="shared" si="12"/>
        <v>1.4268336075447663</v>
      </c>
      <c r="N43" s="3">
        <f t="shared" si="13"/>
        <v>1.5710900998438739</v>
      </c>
      <c r="O43" s="3">
        <f>IF(M43="","",MOD(M43+Geometry!$B$47*N43+PI(),2*PI())-PI())</f>
        <v>-0.14425649229910764</v>
      </c>
      <c r="P43" s="3" t="b">
        <f t="shared" si="14"/>
        <v>1</v>
      </c>
      <c r="Q43" s="3">
        <f>IF(P43=FALSE,"",IF((Geometry!$B$28*COS(O43)+Geometry!$B$32*SIN(O43)+Geometry!$B$8*Geometry!$B$30*(1-COS(O43)))&gt;=0,1,-1)*ACOS(MAX(-1,MIN(1,(Geometry!$B$27*COS(O43)+Geometry!$B$31*SIN(O43)+Geometry!$B$7*Geometry!$B$30*(1-COS(O43)))/SQRT((Geometry!$B$27*COS(O43)+Geometry!$B$31*SIN(O43)+Geometry!$B$7*Geometry!$B$30*(1-COS(O43)))^2+(Geometry!$B$28*COS(O43)+Geometry!$B$32*SIN(O43)+Geometry!$B$8*Geometry!$B$30*(1-COS(O43)))^2))))*180/PI())</f>
        <v>-8.106969670452699</v>
      </c>
      <c r="R43" s="3">
        <f>IF(NOT(ISNUMBER($A43)),"",Inputs!$B$21+$A43*Inputs!$E$6/SQRT(Inputs!$E$6^2+Inputs!$E$7^2+Inputs!$E$8^2))</f>
        <v>919.87300000000005</v>
      </c>
      <c r="S43" s="3">
        <f>IF(NOT(ISNUMBER($A43)),"",Inputs!$C$21+$A43*Inputs!$E$7/SQRT(Inputs!$E$6^2+Inputs!$E$7^2+Inputs!$E$8^2))</f>
        <v>-276.45400000000001</v>
      </c>
      <c r="T43" s="3">
        <f>IF(NOT(ISNUMBER($A43)),"",Inputs!$D$21+$A43*Inputs!$E$8/SQRT(Inputs!$E$6^2+Inputs!$E$7^2+Inputs!$E$8^2))</f>
        <v>182.18899999999999</v>
      </c>
      <c r="U43" s="3">
        <f>IF(NOT(ISNUMBER($A43)),"",Inputs!$B$19+Geometry!$C$15-R43)</f>
        <v>-24.932661268328502</v>
      </c>
      <c r="V43" s="3">
        <f>IF(NOT(ISNUMBER($A43)),"",Inputs!$C$19+Geometry!$C$16-S43)</f>
        <v>-164.76798447238372</v>
      </c>
      <c r="W43" s="3">
        <f>IF(NOT(ISNUMBER($A43)),"",Inputs!$D$19+Geometry!$C$17-T43)</f>
        <v>11.015351937228701</v>
      </c>
      <c r="X43" s="3">
        <f>IF(NOT(ISNUMBER($A43)),"",2*(U43*Geometry!$C$18+V43*Geometry!$C$19+W43*Geometry!$C$20))</f>
        <v>5862.0810851961487</v>
      </c>
      <c r="Y43" s="3">
        <f>IF(NOT(ISNUMBER($A43)),"",2*(U43*Geometry!$C$21+V43*Geometry!$C$22+W43*Geometry!$C$23))</f>
        <v>-49750.724216097973</v>
      </c>
      <c r="Z43" s="3">
        <f>IF(NOT(ISNUMBER($A43)),"",Geometry!$C$24^2-(U43^2+V43^2+W43^2)-(Geometry!$C$18^2+Geometry!$C$19^2+Geometry!$C$20^2))</f>
        <v>13948.367085196158</v>
      </c>
      <c r="AA43" s="3">
        <f t="shared" si="15"/>
        <v>50094.895495206416</v>
      </c>
      <c r="AB43" s="3">
        <f t="shared" si="16"/>
        <v>0.27843888977732029</v>
      </c>
      <c r="AC43" s="3">
        <f t="shared" si="17"/>
        <v>-1.4535080691754299</v>
      </c>
      <c r="AD43" s="3">
        <f t="shared" si="18"/>
        <v>1.2886279893277943</v>
      </c>
      <c r="AE43" s="3">
        <f>IF(AC43="","",MOD(AC43+Geometry!$C$47*AD43+PI(),2*PI())-PI())</f>
        <v>-0.16488007984763531</v>
      </c>
      <c r="AF43" s="3" t="b">
        <f t="shared" si="19"/>
        <v>1</v>
      </c>
      <c r="AG43" s="3">
        <f>IF(AF43=FALSE,"",IF((Geometry!$C$28*COS(AE43)+Geometry!$C$32*SIN(AE43)+Geometry!$C$8*Geometry!$C$30*(1-COS(AE43)))&gt;=0,1,-1)*ACOS(MAX(-1,MIN(1,(Geometry!$C$27*COS(AE43)+Geometry!$C$31*SIN(AE43)+Geometry!$C$7*Geometry!$C$30*(1-COS(AE43)))/SQRT((Geometry!$C$27*COS(AE43)+Geometry!$C$31*SIN(AE43)+Geometry!$C$7*Geometry!$C$30*(1-COS(AE43)))^2+(Geometry!$C$28*COS(AE43)+Geometry!$C$32*SIN(AE43)+Geometry!$C$8*Geometry!$C$30*(1-COS(AE43)))^2))))*180/PI())</f>
        <v>-9.2844899696539471</v>
      </c>
    </row>
    <row r="44" spans="1:33">
      <c r="A44" s="3">
        <f>IF(Inputs!$E$9+42*Inputs!$E$11&lt;=Inputs!$E$10,Inputs!$E$9+42*Inputs!$E$11,"")</f>
        <v>-18</v>
      </c>
      <c r="B44" s="3">
        <f>IF(NOT(ISNUMBER($A44)),"",Inputs!$B$17+$A44*Inputs!$E$6/SQRT(Inputs!$E$6^2+Inputs!$E$7^2+Inputs!$E$8^2))</f>
        <v>919.87300000000005</v>
      </c>
      <c r="C44" s="3">
        <f>IF(NOT(ISNUMBER($A44)),"",Inputs!$C$17+$A44*Inputs!$E$7/SQRT(Inputs!$E$6^2+Inputs!$E$7^2+Inputs!$E$8^2))</f>
        <v>239.45400000000001</v>
      </c>
      <c r="D44" s="3">
        <f>IF(NOT(ISNUMBER($A44)),"",Inputs!$D$17+$A44*Inputs!$E$8/SQRT(Inputs!$E$6^2+Inputs!$E$7^2+Inputs!$E$8^2))</f>
        <v>182.18899999999999</v>
      </c>
      <c r="E44" s="3">
        <f>IF(NOT(ISNUMBER($A44)),"",Inputs!$B$15+Geometry!$B$15-B44)</f>
        <v>-24.932661268328502</v>
      </c>
      <c r="F44" s="3">
        <f>IF(NOT(ISNUMBER($A44)),"",Inputs!$C$15+Geometry!$B$16-C44)</f>
        <v>201.76798447238372</v>
      </c>
      <c r="G44" s="3">
        <f>IF(NOT(ISNUMBER($A44)),"",Inputs!$D$15+Geometry!$B$17-D44)</f>
        <v>11.015351937228701</v>
      </c>
      <c r="H44" s="3">
        <f>IF(NOT(ISNUMBER($A44)),"",2*(E44*Geometry!$B$18+F44*Geometry!$B$19+G44*Geometry!$B$20))</f>
        <v>8713.2282342397521</v>
      </c>
      <c r="I44" s="3">
        <f>IF(NOT(ISNUMBER($A44)),"",2*(E44*Geometry!$B$21+F44*Geometry!$B$22+G44*Geometry!$B$23))</f>
        <v>60350.571704266738</v>
      </c>
      <c r="J44" s="3">
        <f>IF(NOT(ISNUMBER($A44)),"",Geometry!$B$24^2-(E44^2+F44^2+G44^2)-(Geometry!$B$18^2+Geometry!$B$19^2+Geometry!$B$20^2))</f>
        <v>386.53623423976387</v>
      </c>
      <c r="K44" s="3">
        <f t="shared" si="10"/>
        <v>60976.322054497468</v>
      </c>
      <c r="L44" s="3">
        <f t="shared" si="11"/>
        <v>6.3391201898713714E-3</v>
      </c>
      <c r="M44" s="3">
        <f t="shared" si="12"/>
        <v>1.4274102317071637</v>
      </c>
      <c r="N44" s="3">
        <f t="shared" si="13"/>
        <v>1.5644571641485865</v>
      </c>
      <c r="O44" s="3">
        <f>IF(M44="","",MOD(M44+Geometry!$B$47*N44+PI(),2*PI())-PI())</f>
        <v>-0.13704693244142252</v>
      </c>
      <c r="P44" s="3" t="b">
        <f t="shared" si="14"/>
        <v>1</v>
      </c>
      <c r="Q44" s="3">
        <f>IF(P44=FALSE,"",IF((Geometry!$B$28*COS(O44)+Geometry!$B$32*SIN(O44)+Geometry!$B$8*Geometry!$B$30*(1-COS(O44)))&gt;=0,1,-1)*ACOS(MAX(-1,MIN(1,(Geometry!$B$27*COS(O44)+Geometry!$B$31*SIN(O44)+Geometry!$B$7*Geometry!$B$30*(1-COS(O44)))/SQRT((Geometry!$B$27*COS(O44)+Geometry!$B$31*SIN(O44)+Geometry!$B$7*Geometry!$B$30*(1-COS(O44)))^2+(Geometry!$B$28*COS(O44)+Geometry!$B$32*SIN(O44)+Geometry!$B$8*Geometry!$B$30*(1-COS(O44)))^2))))*180/PI())</f>
        <v>-7.7019942184156251</v>
      </c>
      <c r="R44" s="3">
        <f>IF(NOT(ISNUMBER($A44)),"",Inputs!$B$21+$A44*Inputs!$E$6/SQRT(Inputs!$E$6^2+Inputs!$E$7^2+Inputs!$E$8^2))</f>
        <v>919.87300000000005</v>
      </c>
      <c r="S44" s="3">
        <f>IF(NOT(ISNUMBER($A44)),"",Inputs!$C$21+$A44*Inputs!$E$7/SQRT(Inputs!$E$6^2+Inputs!$E$7^2+Inputs!$E$8^2))</f>
        <v>-275.45400000000001</v>
      </c>
      <c r="T44" s="3">
        <f>IF(NOT(ISNUMBER($A44)),"",Inputs!$D$21+$A44*Inputs!$E$8/SQRT(Inputs!$E$6^2+Inputs!$E$7^2+Inputs!$E$8^2))</f>
        <v>182.18899999999999</v>
      </c>
      <c r="U44" s="3">
        <f>IF(NOT(ISNUMBER($A44)),"",Inputs!$B$19+Geometry!$C$15-R44)</f>
        <v>-24.932661268328502</v>
      </c>
      <c r="V44" s="3">
        <f>IF(NOT(ISNUMBER($A44)),"",Inputs!$C$19+Geometry!$C$16-S44)</f>
        <v>-165.76798447238372</v>
      </c>
      <c r="W44" s="3">
        <f>IF(NOT(ISNUMBER($A44)),"",Inputs!$D$19+Geometry!$C$17-T44)</f>
        <v>11.015351937228701</v>
      </c>
      <c r="X44" s="3">
        <f>IF(NOT(ISNUMBER($A44)),"",2*(U44*Geometry!$C$18+V44*Geometry!$C$19+W44*Geometry!$C$20))</f>
        <v>5939.139116251381</v>
      </c>
      <c r="Y44" s="3">
        <f>IF(NOT(ISNUMBER($A44)),"",2*(U44*Geometry!$C$21+V44*Geometry!$C$22+W44*Geometry!$C$23))</f>
        <v>-50037.206580643076</v>
      </c>
      <c r="Z44" s="3">
        <f>IF(NOT(ISNUMBER($A44)),"",Geometry!$C$24^2-(U44^2+V44^2+W44^2)-(Geometry!$C$18^2+Geometry!$C$19^2+Geometry!$C$20^2))</f>
        <v>13617.831116251386</v>
      </c>
      <c r="AA44" s="3">
        <f t="shared" si="15"/>
        <v>50388.445261152265</v>
      </c>
      <c r="AB44" s="3">
        <f t="shared" si="16"/>
        <v>0.27025702114191363</v>
      </c>
      <c r="AC44" s="3">
        <f t="shared" si="17"/>
        <v>-1.4526546079066467</v>
      </c>
      <c r="AD44" s="3">
        <f t="shared" si="18"/>
        <v>1.2971363503104765</v>
      </c>
      <c r="AE44" s="3">
        <f>IF(AC44="","",MOD(AC44+Geometry!$C$47*AD44+PI(),2*PI())-PI())</f>
        <v>-0.15551825759617</v>
      </c>
      <c r="AF44" s="3" t="b">
        <f t="shared" si="19"/>
        <v>1</v>
      </c>
      <c r="AG44" s="3">
        <f>IF(AF44=FALSE,"",IF((Geometry!$C$28*COS(AE44)+Geometry!$C$32*SIN(AE44)+Geometry!$C$8*Geometry!$C$30*(1-COS(AE44)))&gt;=0,1,-1)*ACOS(MAX(-1,MIN(1,(Geometry!$C$27*COS(AE44)+Geometry!$C$31*SIN(AE44)+Geometry!$C$7*Geometry!$C$30*(1-COS(AE44)))/SQRT((Geometry!$C$27*COS(AE44)+Geometry!$C$31*SIN(AE44)+Geometry!$C$7*Geometry!$C$30*(1-COS(AE44)))^2+(Geometry!$C$28*COS(AE44)+Geometry!$C$32*SIN(AE44)+Geometry!$C$8*Geometry!$C$30*(1-COS(AE44)))^2))))*180/PI())</f>
        <v>-8.7565695191250192</v>
      </c>
    </row>
    <row r="45" spans="1:33">
      <c r="A45" s="3">
        <f>IF(Inputs!$E$9+43*Inputs!$E$11&lt;=Inputs!$E$10,Inputs!$E$9+43*Inputs!$E$11,"")</f>
        <v>-17</v>
      </c>
      <c r="B45" s="3">
        <f>IF(NOT(ISNUMBER($A45)),"",Inputs!$B$17+$A45*Inputs!$E$6/SQRT(Inputs!$E$6^2+Inputs!$E$7^2+Inputs!$E$8^2))</f>
        <v>919.87300000000005</v>
      </c>
      <c r="C45" s="3">
        <f>IF(NOT(ISNUMBER($A45)),"",Inputs!$C$17+$A45*Inputs!$E$7/SQRT(Inputs!$E$6^2+Inputs!$E$7^2+Inputs!$E$8^2))</f>
        <v>240.45400000000001</v>
      </c>
      <c r="D45" s="3">
        <f>IF(NOT(ISNUMBER($A45)),"",Inputs!$D$17+$A45*Inputs!$E$8/SQRT(Inputs!$E$6^2+Inputs!$E$7^2+Inputs!$E$8^2))</f>
        <v>182.18899999999999</v>
      </c>
      <c r="E45" s="3">
        <f>IF(NOT(ISNUMBER($A45)),"",Inputs!$B$15+Geometry!$B$15-B45)</f>
        <v>-24.932661268328502</v>
      </c>
      <c r="F45" s="3">
        <f>IF(NOT(ISNUMBER($A45)),"",Inputs!$C$15+Geometry!$B$16-C45)</f>
        <v>200.76798447238372</v>
      </c>
      <c r="G45" s="3">
        <f>IF(NOT(ISNUMBER($A45)),"",Inputs!$D$15+Geometry!$B$17-D45)</f>
        <v>11.015351937228701</v>
      </c>
      <c r="H45" s="3">
        <f>IF(NOT(ISNUMBER($A45)),"",2*(E45*Geometry!$B$18+F45*Geometry!$B$19+G45*Geometry!$B$20))</f>
        <v>8636.170203184518</v>
      </c>
      <c r="I45" s="3">
        <f>IF(NOT(ISNUMBER($A45)),"",2*(E45*Geometry!$B$21+F45*Geometry!$B$22+G45*Geometry!$B$23))</f>
        <v>60064.089339721635</v>
      </c>
      <c r="J45" s="3">
        <f>IF(NOT(ISNUMBER($A45)),"",Geometry!$B$24^2-(E45^2+F45^2+G45^2)-(Geometry!$B$18^2+Geometry!$B$19^2+Geometry!$B$20^2))</f>
        <v>789.07220318452892</v>
      </c>
      <c r="K45" s="3">
        <f t="shared" si="10"/>
        <v>60681.778681812175</v>
      </c>
      <c r="L45" s="3">
        <f t="shared" si="11"/>
        <v>1.3003445520640833E-2</v>
      </c>
      <c r="M45" s="3">
        <f t="shared" si="12"/>
        <v>1.4279924538184166</v>
      </c>
      <c r="N45" s="3">
        <f t="shared" si="13"/>
        <v>1.5577925147884786</v>
      </c>
      <c r="O45" s="3">
        <f>IF(M45="","",MOD(M45+Geometry!$B$47*N45+PI(),2*PI())-PI())</f>
        <v>-0.12980006097006225</v>
      </c>
      <c r="P45" s="3" t="b">
        <f t="shared" si="14"/>
        <v>1</v>
      </c>
      <c r="Q45" s="3">
        <f>IF(P45=FALSE,"",IF((Geometry!$B$28*COS(O45)+Geometry!$B$32*SIN(O45)+Geometry!$B$8*Geometry!$B$30*(1-COS(O45)))&gt;=0,1,-1)*ACOS(MAX(-1,MIN(1,(Geometry!$B$27*COS(O45)+Geometry!$B$31*SIN(O45)+Geometry!$B$7*Geometry!$B$30*(1-COS(O45)))/SQRT((Geometry!$B$27*COS(O45)+Geometry!$B$31*SIN(O45)+Geometry!$B$7*Geometry!$B$30*(1-COS(O45)))^2+(Geometry!$B$28*COS(O45)+Geometry!$B$32*SIN(O45)+Geometry!$B$8*Geometry!$B$30*(1-COS(O45)))^2))))*180/PI())</f>
        <v>-7.2949111998510014</v>
      </c>
      <c r="R45" s="3">
        <f>IF(NOT(ISNUMBER($A45)),"",Inputs!$B$21+$A45*Inputs!$E$6/SQRT(Inputs!$E$6^2+Inputs!$E$7^2+Inputs!$E$8^2))</f>
        <v>919.87300000000005</v>
      </c>
      <c r="S45" s="3">
        <f>IF(NOT(ISNUMBER($A45)),"",Inputs!$C$21+$A45*Inputs!$E$7/SQRT(Inputs!$E$6^2+Inputs!$E$7^2+Inputs!$E$8^2))</f>
        <v>-274.45400000000001</v>
      </c>
      <c r="T45" s="3">
        <f>IF(NOT(ISNUMBER($A45)),"",Inputs!$D$21+$A45*Inputs!$E$8/SQRT(Inputs!$E$6^2+Inputs!$E$7^2+Inputs!$E$8^2))</f>
        <v>182.18899999999999</v>
      </c>
      <c r="U45" s="3">
        <f>IF(NOT(ISNUMBER($A45)),"",Inputs!$B$19+Geometry!$C$15-R45)</f>
        <v>-24.932661268328502</v>
      </c>
      <c r="V45" s="3">
        <f>IF(NOT(ISNUMBER($A45)),"",Inputs!$C$19+Geometry!$C$16-S45)</f>
        <v>-166.76798447238372</v>
      </c>
      <c r="W45" s="3">
        <f>IF(NOT(ISNUMBER($A45)),"",Inputs!$D$19+Geometry!$C$17-T45)</f>
        <v>11.015351937228701</v>
      </c>
      <c r="X45" s="3">
        <f>IF(NOT(ISNUMBER($A45)),"",2*(U45*Geometry!$C$18+V45*Geometry!$C$19+W45*Geometry!$C$20))</f>
        <v>6016.1971473066133</v>
      </c>
      <c r="Y45" s="3">
        <f>IF(NOT(ISNUMBER($A45)),"",2*(U45*Geometry!$C$21+V45*Geometry!$C$22+W45*Geometry!$C$23))</f>
        <v>-50323.68894518818</v>
      </c>
      <c r="Z45" s="3">
        <f>IF(NOT(ISNUMBER($A45)),"",Geometry!$C$24^2-(U45^2+V45^2+W45^2)-(Geometry!$C$18^2+Geometry!$C$19^2+Geometry!$C$20^2))</f>
        <v>13285.29514730662</v>
      </c>
      <c r="AA45" s="3">
        <f t="shared" si="15"/>
        <v>50682.031304667682</v>
      </c>
      <c r="AB45" s="3">
        <f t="shared" si="16"/>
        <v>0.26213028178456377</v>
      </c>
      <c r="AC45" s="3">
        <f t="shared" si="17"/>
        <v>-1.4518110337276184</v>
      </c>
      <c r="AD45" s="3">
        <f t="shared" si="18"/>
        <v>1.3055673119542968</v>
      </c>
      <c r="AE45" s="3">
        <f>IF(AC45="","",MOD(AC45+Geometry!$C$47*AD45+PI(),2*PI())-PI())</f>
        <v>-0.14624372177332168</v>
      </c>
      <c r="AF45" s="3" t="b">
        <f t="shared" si="19"/>
        <v>1</v>
      </c>
      <c r="AG45" s="3">
        <f>IF(AF45=FALSE,"",IF((Geometry!$C$28*COS(AE45)+Geometry!$C$32*SIN(AE45)+Geometry!$C$8*Geometry!$C$30*(1-COS(AE45)))&gt;=0,1,-1)*ACOS(MAX(-1,MIN(1,(Geometry!$C$27*COS(AE45)+Geometry!$C$31*SIN(AE45)+Geometry!$C$7*Geometry!$C$30*(1-COS(AE45)))/SQRT((Geometry!$C$27*COS(AE45)+Geometry!$C$31*SIN(AE45)+Geometry!$C$7*Geometry!$C$30*(1-COS(AE45)))^2+(Geometry!$C$28*COS(AE45)+Geometry!$C$32*SIN(AE45)+Geometry!$C$8*Geometry!$C$30*(1-COS(AE45)))^2))))*180/PI())</f>
        <v>-8.2336715982739097</v>
      </c>
    </row>
    <row r="46" spans="1:33">
      <c r="A46" s="3">
        <f>IF(Inputs!$E$9+44*Inputs!$E$11&lt;=Inputs!$E$10,Inputs!$E$9+44*Inputs!$E$11,"")</f>
        <v>-16</v>
      </c>
      <c r="B46" s="3">
        <f>IF(NOT(ISNUMBER($A46)),"",Inputs!$B$17+$A46*Inputs!$E$6/SQRT(Inputs!$E$6^2+Inputs!$E$7^2+Inputs!$E$8^2))</f>
        <v>919.87300000000005</v>
      </c>
      <c r="C46" s="3">
        <f>IF(NOT(ISNUMBER($A46)),"",Inputs!$C$17+$A46*Inputs!$E$7/SQRT(Inputs!$E$6^2+Inputs!$E$7^2+Inputs!$E$8^2))</f>
        <v>241.45400000000001</v>
      </c>
      <c r="D46" s="3">
        <f>IF(NOT(ISNUMBER($A46)),"",Inputs!$D$17+$A46*Inputs!$E$8/SQRT(Inputs!$E$6^2+Inputs!$E$7^2+Inputs!$E$8^2))</f>
        <v>182.18899999999999</v>
      </c>
      <c r="E46" s="3">
        <f>IF(NOT(ISNUMBER($A46)),"",Inputs!$B$15+Geometry!$B$15-B46)</f>
        <v>-24.932661268328502</v>
      </c>
      <c r="F46" s="3">
        <f>IF(NOT(ISNUMBER($A46)),"",Inputs!$C$15+Geometry!$B$16-C46)</f>
        <v>199.76798447238372</v>
      </c>
      <c r="G46" s="3">
        <f>IF(NOT(ISNUMBER($A46)),"",Inputs!$D$15+Geometry!$B$17-D46)</f>
        <v>11.015351937228701</v>
      </c>
      <c r="H46" s="3">
        <f>IF(NOT(ISNUMBER($A46)),"",2*(E46*Geometry!$B$18+F46*Geometry!$B$19+G46*Geometry!$B$20))</f>
        <v>8559.1121721292857</v>
      </c>
      <c r="I46" s="3">
        <f>IF(NOT(ISNUMBER($A46)),"",2*(E46*Geometry!$B$21+F46*Geometry!$B$22+G46*Geometry!$B$23))</f>
        <v>59777.606975176532</v>
      </c>
      <c r="J46" s="3">
        <f>IF(NOT(ISNUMBER($A46)),"",Geometry!$B$24^2-(E46^2+F46^2+G46^2)-(Geometry!$B$18^2+Geometry!$B$19^2+Geometry!$B$20^2))</f>
        <v>1189.608172129294</v>
      </c>
      <c r="K46" s="3">
        <f t="shared" si="10"/>
        <v>60387.256079853185</v>
      </c>
      <c r="L46" s="3">
        <f t="shared" si="11"/>
        <v>1.9699656009476797E-2</v>
      </c>
      <c r="M46" s="3">
        <f t="shared" si="12"/>
        <v>1.4285803553941294</v>
      </c>
      <c r="N46" s="3">
        <f t="shared" si="13"/>
        <v>1.551095396400771</v>
      </c>
      <c r="O46" s="3">
        <f>IF(M46="","",MOD(M46+Geometry!$B$47*N46+PI(),2*PI())-PI())</f>
        <v>-0.12251504100664157</v>
      </c>
      <c r="P46" s="3" t="b">
        <f t="shared" si="14"/>
        <v>1</v>
      </c>
      <c r="Q46" s="3">
        <f>IF(P46=FALSE,"",IF((Geometry!$B$28*COS(O46)+Geometry!$B$32*SIN(O46)+Geometry!$B$8*Geometry!$B$30*(1-COS(O46)))&gt;=0,1,-1)*ACOS(MAX(-1,MIN(1,(Geometry!$B$27*COS(O46)+Geometry!$B$31*SIN(O46)+Geometry!$B$7*Geometry!$B$30*(1-COS(O46)))/SQRT((Geometry!$B$27*COS(O46)+Geometry!$B$31*SIN(O46)+Geometry!$B$7*Geometry!$B$30*(1-COS(O46)))^2+(Geometry!$B$28*COS(O46)+Geometry!$B$32*SIN(O46)+Geometry!$B$8*Geometry!$B$30*(1-COS(O46)))^2))))*180/PI())</f>
        <v>-6.8856719591287803</v>
      </c>
      <c r="R46" s="3">
        <f>IF(NOT(ISNUMBER($A46)),"",Inputs!$B$21+$A46*Inputs!$E$6/SQRT(Inputs!$E$6^2+Inputs!$E$7^2+Inputs!$E$8^2))</f>
        <v>919.87300000000005</v>
      </c>
      <c r="S46" s="3">
        <f>IF(NOT(ISNUMBER($A46)),"",Inputs!$C$21+$A46*Inputs!$E$7/SQRT(Inputs!$E$6^2+Inputs!$E$7^2+Inputs!$E$8^2))</f>
        <v>-273.45400000000001</v>
      </c>
      <c r="T46" s="3">
        <f>IF(NOT(ISNUMBER($A46)),"",Inputs!$D$21+$A46*Inputs!$E$8/SQRT(Inputs!$E$6^2+Inputs!$E$7^2+Inputs!$E$8^2))</f>
        <v>182.18899999999999</v>
      </c>
      <c r="U46" s="3">
        <f>IF(NOT(ISNUMBER($A46)),"",Inputs!$B$19+Geometry!$C$15-R46)</f>
        <v>-24.932661268328502</v>
      </c>
      <c r="V46" s="3">
        <f>IF(NOT(ISNUMBER($A46)),"",Inputs!$C$19+Geometry!$C$16-S46)</f>
        <v>-167.76798447238372</v>
      </c>
      <c r="W46" s="3">
        <f>IF(NOT(ISNUMBER($A46)),"",Inputs!$D$19+Geometry!$C$17-T46)</f>
        <v>11.015351937228701</v>
      </c>
      <c r="X46" s="3">
        <f>IF(NOT(ISNUMBER($A46)),"",2*(U46*Geometry!$C$18+V46*Geometry!$C$19+W46*Geometry!$C$20))</f>
        <v>6093.2551783618455</v>
      </c>
      <c r="Y46" s="3">
        <f>IF(NOT(ISNUMBER($A46)),"",2*(U46*Geometry!$C$21+V46*Geometry!$C$22+W46*Geometry!$C$23))</f>
        <v>-50610.171309733276</v>
      </c>
      <c r="Z46" s="3">
        <f>IF(NOT(ISNUMBER($A46)),"",Geometry!$C$24^2-(U46^2+V46^2+W46^2)-(Geometry!$C$18^2+Geometry!$C$19^2+Geometry!$C$20^2))</f>
        <v>12950.759178361855</v>
      </c>
      <c r="AA46" s="3">
        <f t="shared" si="15"/>
        <v>50975.652998948259</v>
      </c>
      <c r="AB46" s="3">
        <f t="shared" si="16"/>
        <v>0.25405773965522438</v>
      </c>
      <c r="AC46" s="3">
        <f t="shared" si="17"/>
        <v>-1.4509771769994053</v>
      </c>
      <c r="AD46" s="3">
        <f t="shared" si="18"/>
        <v>1.3139229740383183</v>
      </c>
      <c r="AE46" s="3">
        <f>IF(AC46="","",MOD(AC46+Geometry!$C$47*AD46+PI(),2*PI())-PI())</f>
        <v>-0.13705420296108706</v>
      </c>
      <c r="AF46" s="3" t="b">
        <f t="shared" si="19"/>
        <v>1</v>
      </c>
      <c r="AG46" s="3">
        <f>IF(AF46=FALSE,"",IF((Geometry!$C$28*COS(AE46)+Geometry!$C$32*SIN(AE46)+Geometry!$C$8*Geometry!$C$30*(1-COS(AE46)))&gt;=0,1,-1)*ACOS(MAX(-1,MIN(1,(Geometry!$C$27*COS(AE46)+Geometry!$C$31*SIN(AE46)+Geometry!$C$7*Geometry!$C$30*(1-COS(AE46)))/SQRT((Geometry!$C$27*COS(AE46)+Geometry!$C$31*SIN(AE46)+Geometry!$C$7*Geometry!$C$30*(1-COS(AE46)))^2+(Geometry!$C$28*COS(AE46)+Geometry!$C$32*SIN(AE46)+Geometry!$C$8*Geometry!$C$30*(1-COS(AE46)))^2))))*180/PI())</f>
        <v>-7.7156635363554251</v>
      </c>
    </row>
    <row r="47" spans="1:33">
      <c r="A47" s="3">
        <f>IF(Inputs!$E$9+45*Inputs!$E$11&lt;=Inputs!$E$10,Inputs!$E$9+45*Inputs!$E$11,"")</f>
        <v>-15</v>
      </c>
      <c r="B47" s="3">
        <f>IF(NOT(ISNUMBER($A47)),"",Inputs!$B$17+$A47*Inputs!$E$6/SQRT(Inputs!$E$6^2+Inputs!$E$7^2+Inputs!$E$8^2))</f>
        <v>919.87300000000005</v>
      </c>
      <c r="C47" s="3">
        <f>IF(NOT(ISNUMBER($A47)),"",Inputs!$C$17+$A47*Inputs!$E$7/SQRT(Inputs!$E$6^2+Inputs!$E$7^2+Inputs!$E$8^2))</f>
        <v>242.45400000000001</v>
      </c>
      <c r="D47" s="3">
        <f>IF(NOT(ISNUMBER($A47)),"",Inputs!$D$17+$A47*Inputs!$E$8/SQRT(Inputs!$E$6^2+Inputs!$E$7^2+Inputs!$E$8^2))</f>
        <v>182.18899999999999</v>
      </c>
      <c r="E47" s="3">
        <f>IF(NOT(ISNUMBER($A47)),"",Inputs!$B$15+Geometry!$B$15-B47)</f>
        <v>-24.932661268328502</v>
      </c>
      <c r="F47" s="3">
        <f>IF(NOT(ISNUMBER($A47)),"",Inputs!$C$15+Geometry!$B$16-C47)</f>
        <v>198.76798447238372</v>
      </c>
      <c r="G47" s="3">
        <f>IF(NOT(ISNUMBER($A47)),"",Inputs!$D$15+Geometry!$B$17-D47)</f>
        <v>11.015351937228701</v>
      </c>
      <c r="H47" s="3">
        <f>IF(NOT(ISNUMBER($A47)),"",2*(E47*Geometry!$B$18+F47*Geometry!$B$19+G47*Geometry!$B$20))</f>
        <v>8482.0541410740534</v>
      </c>
      <c r="I47" s="3">
        <f>IF(NOT(ISNUMBER($A47)),"",2*(E47*Geometry!$B$21+F47*Geometry!$B$22+G47*Geometry!$B$23))</f>
        <v>59491.124610631436</v>
      </c>
      <c r="J47" s="3">
        <f>IF(NOT(ISNUMBER($A47)),"",Geometry!$B$24^2-(E47^2+F47^2+G47^2)-(Geometry!$B$18^2+Geometry!$B$19^2+Geometry!$B$20^2))</f>
        <v>1588.1441410740663</v>
      </c>
      <c r="K47" s="3">
        <f t="shared" si="10"/>
        <v>60092.754554020816</v>
      </c>
      <c r="L47" s="3">
        <f t="shared" si="11"/>
        <v>2.6428213398778259E-2</v>
      </c>
      <c r="M47" s="3">
        <f t="shared" si="12"/>
        <v>1.4291740195323326</v>
      </c>
      <c r="N47" s="3">
        <f t="shared" si="13"/>
        <v>1.5443650359624583</v>
      </c>
      <c r="O47" s="3">
        <f>IF(M47="","",MOD(M47+Geometry!$B$47*N47+PI(),2*PI())-PI())</f>
        <v>-0.11519101643012597</v>
      </c>
      <c r="P47" s="3" t="b">
        <f t="shared" si="14"/>
        <v>1</v>
      </c>
      <c r="Q47" s="3">
        <f>IF(P47=FALSE,"",IF((Geometry!$B$28*COS(O47)+Geometry!$B$32*SIN(O47)+Geometry!$B$8*Geometry!$B$30*(1-COS(O47)))&gt;=0,1,-1)*ACOS(MAX(-1,MIN(1,(Geometry!$B$27*COS(O47)+Geometry!$B$31*SIN(O47)+Geometry!$B$7*Geometry!$B$30*(1-COS(O47)))/SQRT((Geometry!$B$27*COS(O47)+Geometry!$B$31*SIN(O47)+Geometry!$B$7*Geometry!$B$30*(1-COS(O47)))^2+(Geometry!$B$28*COS(O47)+Geometry!$B$32*SIN(O47)+Geometry!$B$8*Geometry!$B$30*(1-COS(O47)))^2))))*180/PI())</f>
        <v>-6.4742267151514961</v>
      </c>
      <c r="R47" s="3">
        <f>IF(NOT(ISNUMBER($A47)),"",Inputs!$B$21+$A47*Inputs!$E$6/SQRT(Inputs!$E$6^2+Inputs!$E$7^2+Inputs!$E$8^2))</f>
        <v>919.87300000000005</v>
      </c>
      <c r="S47" s="3">
        <f>IF(NOT(ISNUMBER($A47)),"",Inputs!$C$21+$A47*Inputs!$E$7/SQRT(Inputs!$E$6^2+Inputs!$E$7^2+Inputs!$E$8^2))</f>
        <v>-272.45400000000001</v>
      </c>
      <c r="T47" s="3">
        <f>IF(NOT(ISNUMBER($A47)),"",Inputs!$D$21+$A47*Inputs!$E$8/SQRT(Inputs!$E$6^2+Inputs!$E$7^2+Inputs!$E$8^2))</f>
        <v>182.18899999999999</v>
      </c>
      <c r="U47" s="3">
        <f>IF(NOT(ISNUMBER($A47)),"",Inputs!$B$19+Geometry!$C$15-R47)</f>
        <v>-24.932661268328502</v>
      </c>
      <c r="V47" s="3">
        <f>IF(NOT(ISNUMBER($A47)),"",Inputs!$C$19+Geometry!$C$16-S47)</f>
        <v>-168.76798447238372</v>
      </c>
      <c r="W47" s="3">
        <f>IF(NOT(ISNUMBER($A47)),"",Inputs!$D$19+Geometry!$C$17-T47)</f>
        <v>11.015351937228701</v>
      </c>
      <c r="X47" s="3">
        <f>IF(NOT(ISNUMBER($A47)),"",2*(U47*Geometry!$C$18+V47*Geometry!$C$19+W47*Geometry!$C$20))</f>
        <v>6170.3132094170778</v>
      </c>
      <c r="Y47" s="3">
        <f>IF(NOT(ISNUMBER($A47)),"",2*(U47*Geometry!$C$21+V47*Geometry!$C$22+W47*Geometry!$C$23))</f>
        <v>-50896.653674278379</v>
      </c>
      <c r="Z47" s="3">
        <f>IF(NOT(ISNUMBER($A47)),"",Geometry!$C$24^2-(U47^2+V47^2+W47^2)-(Geometry!$C$18^2+Geometry!$C$19^2+Geometry!$C$20^2))</f>
        <v>12614.22320941709</v>
      </c>
      <c r="AA47" s="3">
        <f t="shared" si="15"/>
        <v>51269.309731473288</v>
      </c>
      <c r="AB47" s="3">
        <f t="shared" si="16"/>
        <v>0.24603848336334144</v>
      </c>
      <c r="AC47" s="3">
        <f t="shared" si="17"/>
        <v>-1.4501528719148884</v>
      </c>
      <c r="AD47" s="3">
        <f t="shared" si="18"/>
        <v>1.3222053610040425</v>
      </c>
      <c r="AE47" s="3">
        <f>IF(AC47="","",MOD(AC47+Geometry!$C$47*AD47+PI(),2*PI())-PI())</f>
        <v>-0.12794751091084589</v>
      </c>
      <c r="AF47" s="3" t="b">
        <f t="shared" si="19"/>
        <v>1</v>
      </c>
      <c r="AG47" s="3">
        <f>IF(AF47=FALSE,"",IF((Geometry!$C$28*COS(AE47)+Geometry!$C$32*SIN(AE47)+Geometry!$C$8*Geometry!$C$30*(1-COS(AE47)))&gt;=0,1,-1)*ACOS(MAX(-1,MIN(1,(Geometry!$C$27*COS(AE47)+Geometry!$C$31*SIN(AE47)+Geometry!$C$7*Geometry!$C$30*(1-COS(AE47)))/SQRT((Geometry!$C$27*COS(AE47)+Geometry!$C$31*SIN(AE47)+Geometry!$C$7*Geometry!$C$30*(1-COS(AE47)))^2+(Geometry!$C$28*COS(AE47)+Geometry!$C$32*SIN(AE47)+Geometry!$C$8*Geometry!$C$30*(1-COS(AE47)))^2))))*180/PI())</f>
        <v>-7.2024173076122056</v>
      </c>
    </row>
    <row r="48" spans="1:33">
      <c r="A48" s="3">
        <f>IF(Inputs!$E$9+46*Inputs!$E$11&lt;=Inputs!$E$10,Inputs!$E$9+46*Inputs!$E$11,"")</f>
        <v>-14</v>
      </c>
      <c r="B48" s="3">
        <f>IF(NOT(ISNUMBER($A48)),"",Inputs!$B$17+$A48*Inputs!$E$6/SQRT(Inputs!$E$6^2+Inputs!$E$7^2+Inputs!$E$8^2))</f>
        <v>919.87300000000005</v>
      </c>
      <c r="C48" s="3">
        <f>IF(NOT(ISNUMBER($A48)),"",Inputs!$C$17+$A48*Inputs!$E$7/SQRT(Inputs!$E$6^2+Inputs!$E$7^2+Inputs!$E$8^2))</f>
        <v>243.45400000000001</v>
      </c>
      <c r="D48" s="3">
        <f>IF(NOT(ISNUMBER($A48)),"",Inputs!$D$17+$A48*Inputs!$E$8/SQRT(Inputs!$E$6^2+Inputs!$E$7^2+Inputs!$E$8^2))</f>
        <v>182.18899999999999</v>
      </c>
      <c r="E48" s="3">
        <f>IF(NOT(ISNUMBER($A48)),"",Inputs!$B$15+Geometry!$B$15-B48)</f>
        <v>-24.932661268328502</v>
      </c>
      <c r="F48" s="3">
        <f>IF(NOT(ISNUMBER($A48)),"",Inputs!$C$15+Geometry!$B$16-C48)</f>
        <v>197.76798447238372</v>
      </c>
      <c r="G48" s="3">
        <f>IF(NOT(ISNUMBER($A48)),"",Inputs!$D$15+Geometry!$B$17-D48)</f>
        <v>11.015351937228701</v>
      </c>
      <c r="H48" s="3">
        <f>IF(NOT(ISNUMBER($A48)),"",2*(E48*Geometry!$B$18+F48*Geometry!$B$19+G48*Geometry!$B$20))</f>
        <v>8404.9961100188211</v>
      </c>
      <c r="I48" s="3">
        <f>IF(NOT(ISNUMBER($A48)),"",2*(E48*Geometry!$B$21+F48*Geometry!$B$22+G48*Geometry!$B$23))</f>
        <v>59204.642246086332</v>
      </c>
      <c r="J48" s="3">
        <f>IF(NOT(ISNUMBER($A48)),"",Geometry!$B$24^2-(E48^2+F48^2+G48^2)-(Geometry!$B$18^2+Geometry!$B$19^2+Geometry!$B$20^2))</f>
        <v>1984.6801100188313</v>
      </c>
      <c r="K48" s="3">
        <f t="shared" si="10"/>
        <v>59798.274415709544</v>
      </c>
      <c r="L48" s="3">
        <f t="shared" si="11"/>
        <v>3.3189588318579273E-2</v>
      </c>
      <c r="M48" s="3">
        <f t="shared" si="12"/>
        <v>1.4297735309518691</v>
      </c>
      <c r="N48" s="3">
        <f t="shared" si="13"/>
        <v>1.537600642128846</v>
      </c>
      <c r="O48" s="3">
        <f>IF(M48="","",MOD(M48+Geometry!$B$47*N48+PI(),2*PI())-PI())</f>
        <v>-0.10782711117697685</v>
      </c>
      <c r="P48" s="3" t="b">
        <f t="shared" si="14"/>
        <v>1</v>
      </c>
      <c r="Q48" s="3">
        <f>IF(P48=FALSE,"",IF((Geometry!$B$28*COS(O48)+Geometry!$B$32*SIN(O48)+Geometry!$B$8*Geometry!$B$30*(1-COS(O48)))&gt;=0,1,-1)*ACOS(MAX(-1,MIN(1,(Geometry!$B$27*COS(O48)+Geometry!$B$31*SIN(O48)+Geometry!$B$7*Geometry!$B$30*(1-COS(O48)))/SQRT((Geometry!$B$27*COS(O48)+Geometry!$B$31*SIN(O48)+Geometry!$B$7*Geometry!$B$30*(1-COS(O48)))^2+(Geometry!$B$28*COS(O48)+Geometry!$B$32*SIN(O48)+Geometry!$B$8*Geometry!$B$30*(1-COS(O48)))^2))))*180/PI())</f>
        <v>-6.0605245201626348</v>
      </c>
      <c r="R48" s="3">
        <f>IF(NOT(ISNUMBER($A48)),"",Inputs!$B$21+$A48*Inputs!$E$6/SQRT(Inputs!$E$6^2+Inputs!$E$7^2+Inputs!$E$8^2))</f>
        <v>919.87300000000005</v>
      </c>
      <c r="S48" s="3">
        <f>IF(NOT(ISNUMBER($A48)),"",Inputs!$C$21+$A48*Inputs!$E$7/SQRT(Inputs!$E$6^2+Inputs!$E$7^2+Inputs!$E$8^2))</f>
        <v>-271.45400000000001</v>
      </c>
      <c r="T48" s="3">
        <f>IF(NOT(ISNUMBER($A48)),"",Inputs!$D$21+$A48*Inputs!$E$8/SQRT(Inputs!$E$6^2+Inputs!$E$7^2+Inputs!$E$8^2))</f>
        <v>182.18899999999999</v>
      </c>
      <c r="U48" s="3">
        <f>IF(NOT(ISNUMBER($A48)),"",Inputs!$B$19+Geometry!$C$15-R48)</f>
        <v>-24.932661268328502</v>
      </c>
      <c r="V48" s="3">
        <f>IF(NOT(ISNUMBER($A48)),"",Inputs!$C$19+Geometry!$C$16-S48)</f>
        <v>-169.76798447238372</v>
      </c>
      <c r="W48" s="3">
        <f>IF(NOT(ISNUMBER($A48)),"",Inputs!$D$19+Geometry!$C$17-T48)</f>
        <v>11.015351937228701</v>
      </c>
      <c r="X48" s="3">
        <f>IF(NOT(ISNUMBER($A48)),"",2*(U48*Geometry!$C$18+V48*Geometry!$C$19+W48*Geometry!$C$20))</f>
        <v>6247.3712404723119</v>
      </c>
      <c r="Y48" s="3">
        <f>IF(NOT(ISNUMBER($A48)),"",2*(U48*Geometry!$C$21+V48*Geometry!$C$22+W48*Geometry!$C$23))</f>
        <v>-51183.136038823483</v>
      </c>
      <c r="Z48" s="3">
        <f>IF(NOT(ISNUMBER($A48)),"",Geometry!$C$24^2-(U48^2+V48^2+W48^2)-(Geometry!$C$18^2+Geometry!$C$19^2+Geometry!$C$20^2))</f>
        <v>12275.687240472325</v>
      </c>
      <c r="AA48" s="3">
        <f t="shared" si="15"/>
        <v>51563.000903603272</v>
      </c>
      <c r="AB48" s="3">
        <f t="shared" si="16"/>
        <v>0.23807162161530612</v>
      </c>
      <c r="AC48" s="3">
        <f t="shared" si="17"/>
        <v>-1.4493379563919462</v>
      </c>
      <c r="AD48" s="3">
        <f t="shared" si="18"/>
        <v>1.3304164257102098</v>
      </c>
      <c r="AE48" s="3">
        <f>IF(AC48="","",MOD(AC48+Geometry!$C$47*AD48+PI(),2*PI())-PI())</f>
        <v>-0.11892153068173617</v>
      </c>
      <c r="AF48" s="3" t="b">
        <f t="shared" si="19"/>
        <v>1</v>
      </c>
      <c r="AG48" s="3">
        <f>IF(AF48=FALSE,"",IF((Geometry!$C$28*COS(AE48)+Geometry!$C$32*SIN(AE48)+Geometry!$C$8*Geometry!$C$30*(1-COS(AE48)))&gt;=0,1,-1)*ACOS(MAX(-1,MIN(1,(Geometry!$C$27*COS(AE48)+Geometry!$C$31*SIN(AE48)+Geometry!$C$7*Geometry!$C$30*(1-COS(AE48)))/SQRT((Geometry!$C$27*COS(AE48)+Geometry!$C$31*SIN(AE48)+Geometry!$C$7*Geometry!$C$30*(1-COS(AE48)))^2+(Geometry!$C$28*COS(AE48)+Geometry!$C$32*SIN(AE48)+Geometry!$C$8*Geometry!$C$30*(1-COS(AE48)))^2))))*180/PI())</f>
        <v>-6.693809304998962</v>
      </c>
    </row>
    <row r="49" spans="1:33">
      <c r="A49" s="3">
        <f>IF(Inputs!$E$9+47*Inputs!$E$11&lt;=Inputs!$E$10,Inputs!$E$9+47*Inputs!$E$11,"")</f>
        <v>-13</v>
      </c>
      <c r="B49" s="3">
        <f>IF(NOT(ISNUMBER($A49)),"",Inputs!$B$17+$A49*Inputs!$E$6/SQRT(Inputs!$E$6^2+Inputs!$E$7^2+Inputs!$E$8^2))</f>
        <v>919.87300000000005</v>
      </c>
      <c r="C49" s="3">
        <f>IF(NOT(ISNUMBER($A49)),"",Inputs!$C$17+$A49*Inputs!$E$7/SQRT(Inputs!$E$6^2+Inputs!$E$7^2+Inputs!$E$8^2))</f>
        <v>244.45400000000001</v>
      </c>
      <c r="D49" s="3">
        <f>IF(NOT(ISNUMBER($A49)),"",Inputs!$D$17+$A49*Inputs!$E$8/SQRT(Inputs!$E$6^2+Inputs!$E$7^2+Inputs!$E$8^2))</f>
        <v>182.18899999999999</v>
      </c>
      <c r="E49" s="3">
        <f>IF(NOT(ISNUMBER($A49)),"",Inputs!$B$15+Geometry!$B$15-B49)</f>
        <v>-24.932661268328502</v>
      </c>
      <c r="F49" s="3">
        <f>IF(NOT(ISNUMBER($A49)),"",Inputs!$C$15+Geometry!$B$16-C49)</f>
        <v>196.76798447238372</v>
      </c>
      <c r="G49" s="3">
        <f>IF(NOT(ISNUMBER($A49)),"",Inputs!$D$15+Geometry!$B$17-D49)</f>
        <v>11.015351937228701</v>
      </c>
      <c r="H49" s="3">
        <f>IF(NOT(ISNUMBER($A49)),"",2*(E49*Geometry!$B$18+F49*Geometry!$B$19+G49*Geometry!$B$20))</f>
        <v>8327.9380789635889</v>
      </c>
      <c r="I49" s="3">
        <f>IF(NOT(ISNUMBER($A49)),"",2*(E49*Geometry!$B$21+F49*Geometry!$B$22+G49*Geometry!$B$23))</f>
        <v>58918.159881541229</v>
      </c>
      <c r="J49" s="3">
        <f>IF(NOT(ISNUMBER($A49)),"",Geometry!$B$24^2-(E49^2+F49^2+G49^2)-(Geometry!$B$18^2+Geometry!$B$19^2+Geometry!$B$20^2))</f>
        <v>2379.2160789635964</v>
      </c>
      <c r="K49" s="3">
        <f t="shared" si="10"/>
        <v>59503.81598245533</v>
      </c>
      <c r="L49" s="3">
        <f t="shared" si="11"/>
        <v>3.9984260499614128E-2</v>
      </c>
      <c r="M49" s="3">
        <f t="shared" si="12"/>
        <v>1.430378976031897</v>
      </c>
      <c r="N49" s="3">
        <f t="shared" si="13"/>
        <v>1.530801404543058</v>
      </c>
      <c r="O49" s="3">
        <f>IF(M49="","",MOD(M49+Geometry!$B$47*N49+PI(),2*PI())-PI())</f>
        <v>-0.10042242851116079</v>
      </c>
      <c r="P49" s="3" t="b">
        <f t="shared" si="14"/>
        <v>1</v>
      </c>
      <c r="Q49" s="3">
        <f>IF(P49=FALSE,"",IF((Geometry!$B$28*COS(O49)+Geometry!$B$32*SIN(O49)+Geometry!$B$8*Geometry!$B$30*(1-COS(O49)))&gt;=0,1,-1)*ACOS(MAX(-1,MIN(1,(Geometry!$B$27*COS(O49)+Geometry!$B$31*SIN(O49)+Geometry!$B$7*Geometry!$B$30*(1-COS(O49)))/SQRT((Geometry!$B$27*COS(O49)+Geometry!$B$31*SIN(O49)+Geometry!$B$7*Geometry!$B$30*(1-COS(O49)))^2+(Geometry!$B$28*COS(O49)+Geometry!$B$32*SIN(O49)+Geometry!$B$8*Geometry!$B$30*(1-COS(O49)))^2))))*180/PI())</f>
        <v>-5.6445132167822827</v>
      </c>
      <c r="R49" s="3">
        <f>IF(NOT(ISNUMBER($A49)),"",Inputs!$B$21+$A49*Inputs!$E$6/SQRT(Inputs!$E$6^2+Inputs!$E$7^2+Inputs!$E$8^2))</f>
        <v>919.87300000000005</v>
      </c>
      <c r="S49" s="3">
        <f>IF(NOT(ISNUMBER($A49)),"",Inputs!$C$21+$A49*Inputs!$E$7/SQRT(Inputs!$E$6^2+Inputs!$E$7^2+Inputs!$E$8^2))</f>
        <v>-270.45400000000001</v>
      </c>
      <c r="T49" s="3">
        <f>IF(NOT(ISNUMBER($A49)),"",Inputs!$D$21+$A49*Inputs!$E$8/SQRT(Inputs!$E$6^2+Inputs!$E$7^2+Inputs!$E$8^2))</f>
        <v>182.18899999999999</v>
      </c>
      <c r="U49" s="3">
        <f>IF(NOT(ISNUMBER($A49)),"",Inputs!$B$19+Geometry!$C$15-R49)</f>
        <v>-24.932661268328502</v>
      </c>
      <c r="V49" s="3">
        <f>IF(NOT(ISNUMBER($A49)),"",Inputs!$C$19+Geometry!$C$16-S49)</f>
        <v>-170.76798447238372</v>
      </c>
      <c r="W49" s="3">
        <f>IF(NOT(ISNUMBER($A49)),"",Inputs!$D$19+Geometry!$C$17-T49)</f>
        <v>11.015351937228701</v>
      </c>
      <c r="X49" s="3">
        <f>IF(NOT(ISNUMBER($A49)),"",2*(U49*Geometry!$C$18+V49*Geometry!$C$19+W49*Geometry!$C$20))</f>
        <v>6324.4292715275442</v>
      </c>
      <c r="Y49" s="3">
        <f>IF(NOT(ISNUMBER($A49)),"",2*(U49*Geometry!$C$21+V49*Geometry!$C$22+W49*Geometry!$C$23))</f>
        <v>-51469.618403368586</v>
      </c>
      <c r="Z49" s="3">
        <f>IF(NOT(ISNUMBER($A49)),"",Geometry!$C$24^2-(U49^2+V49^2+W49^2)-(Geometry!$C$18^2+Geometry!$C$19^2+Geometry!$C$20^2))</f>
        <v>11935.151271527553</v>
      </c>
      <c r="AA49" s="3">
        <f t="shared" si="15"/>
        <v>51856.725930190893</v>
      </c>
      <c r="AB49" s="3">
        <f t="shared" si="16"/>
        <v>0.23015628266995794</v>
      </c>
      <c r="AC49" s="3">
        <f t="shared" si="17"/>
        <v>-1.448532271970165</v>
      </c>
      <c r="AD49" s="3">
        <f t="shared" si="18"/>
        <v>1.3385580529525833</v>
      </c>
      <c r="AE49" s="3">
        <f>IF(AC49="","",MOD(AC49+Geometry!$C$47*AD49+PI(),2*PI())-PI())</f>
        <v>-0.10997421901758164</v>
      </c>
      <c r="AF49" s="3" t="b">
        <f t="shared" si="19"/>
        <v>1</v>
      </c>
      <c r="AG49" s="3">
        <f>IF(AF49=FALSE,"",IF((Geometry!$C$28*COS(AE49)+Geometry!$C$32*SIN(AE49)+Geometry!$C$8*Geometry!$C$30*(1-COS(AE49)))&gt;=0,1,-1)*ACOS(MAX(-1,MIN(1,(Geometry!$C$27*COS(AE49)+Geometry!$C$31*SIN(AE49)+Geometry!$C$7*Geometry!$C$30*(1-COS(AE49)))/SQRT((Geometry!$C$27*COS(AE49)+Geometry!$C$31*SIN(AE49)+Geometry!$C$7*Geometry!$C$30*(1-COS(AE49)))^2+(Geometry!$C$28*COS(AE49)+Geometry!$C$32*SIN(AE49)+Geometry!$C$8*Geometry!$C$30*(1-COS(AE49)))^2))))*180/PI())</f>
        <v>-6.1897201278250513</v>
      </c>
    </row>
    <row r="50" spans="1:33">
      <c r="A50" s="3">
        <f>IF(Inputs!$E$9+48*Inputs!$E$11&lt;=Inputs!$E$10,Inputs!$E$9+48*Inputs!$E$11,"")</f>
        <v>-12</v>
      </c>
      <c r="B50" s="3">
        <f>IF(NOT(ISNUMBER($A50)),"",Inputs!$B$17+$A50*Inputs!$E$6/SQRT(Inputs!$E$6^2+Inputs!$E$7^2+Inputs!$E$8^2))</f>
        <v>919.87300000000005</v>
      </c>
      <c r="C50" s="3">
        <f>IF(NOT(ISNUMBER($A50)),"",Inputs!$C$17+$A50*Inputs!$E$7/SQRT(Inputs!$E$6^2+Inputs!$E$7^2+Inputs!$E$8^2))</f>
        <v>245.45400000000001</v>
      </c>
      <c r="D50" s="3">
        <f>IF(NOT(ISNUMBER($A50)),"",Inputs!$D$17+$A50*Inputs!$E$8/SQRT(Inputs!$E$6^2+Inputs!$E$7^2+Inputs!$E$8^2))</f>
        <v>182.18899999999999</v>
      </c>
      <c r="E50" s="3">
        <f>IF(NOT(ISNUMBER($A50)),"",Inputs!$B$15+Geometry!$B$15-B50)</f>
        <v>-24.932661268328502</v>
      </c>
      <c r="F50" s="3">
        <f>IF(NOT(ISNUMBER($A50)),"",Inputs!$C$15+Geometry!$B$16-C50)</f>
        <v>195.76798447238372</v>
      </c>
      <c r="G50" s="3">
        <f>IF(NOT(ISNUMBER($A50)),"",Inputs!$D$15+Geometry!$B$17-D50)</f>
        <v>11.015351937228701</v>
      </c>
      <c r="H50" s="3">
        <f>IF(NOT(ISNUMBER($A50)),"",2*(E50*Geometry!$B$18+F50*Geometry!$B$19+G50*Geometry!$B$20))</f>
        <v>8250.8800479083566</v>
      </c>
      <c r="I50" s="3">
        <f>IF(NOT(ISNUMBER($A50)),"",2*(E50*Geometry!$B$21+F50*Geometry!$B$22+G50*Geometry!$B$23))</f>
        <v>58631.677516996126</v>
      </c>
      <c r="J50" s="3">
        <f>IF(NOT(ISNUMBER($A50)),"",Geometry!$B$24^2-(E50^2+F50^2+G50^2)-(Geometry!$B$18^2+Geometry!$B$19^2+Geometry!$B$20^2))</f>
        <v>2771.7520479083687</v>
      </c>
      <c r="K50" s="3">
        <f t="shared" si="10"/>
        <v>59209.37957808713</v>
      </c>
      <c r="L50" s="3">
        <f t="shared" si="11"/>
        <v>4.6812718992484931E-2</v>
      </c>
      <c r="M50" s="3">
        <f t="shared" si="12"/>
        <v>1.4309904428525486</v>
      </c>
      <c r="N50" s="3">
        <f t="shared" si="13"/>
        <v>1.5239664931148822</v>
      </c>
      <c r="O50" s="3">
        <f>IF(M50="","",MOD(M50+Geometry!$B$47*N50+PI(),2*PI())-PI())</f>
        <v>-9.2976050262333576E-2</v>
      </c>
      <c r="P50" s="3" t="b">
        <f t="shared" si="14"/>
        <v>1</v>
      </c>
      <c r="Q50" s="3">
        <f>IF(P50=FALSE,"",IF((Geometry!$B$28*COS(O50)+Geometry!$B$32*SIN(O50)+Geometry!$B$8*Geometry!$B$30*(1-COS(O50)))&gt;=0,1,-1)*ACOS(MAX(-1,MIN(1,(Geometry!$B$27*COS(O50)+Geometry!$B$31*SIN(O50)+Geometry!$B$7*Geometry!$B$30*(1-COS(O50)))/SQRT((Geometry!$B$27*COS(O50)+Geometry!$B$31*SIN(O50)+Geometry!$B$7*Geometry!$B$30*(1-COS(O50)))^2+(Geometry!$B$28*COS(O50)+Geometry!$B$32*SIN(O50)+Geometry!$B$8*Geometry!$B$30*(1-COS(O50)))^2))))*180/PI())</f>
        <v>-5.2261393931706976</v>
      </c>
      <c r="R50" s="3">
        <f>IF(NOT(ISNUMBER($A50)),"",Inputs!$B$21+$A50*Inputs!$E$6/SQRT(Inputs!$E$6^2+Inputs!$E$7^2+Inputs!$E$8^2))</f>
        <v>919.87300000000005</v>
      </c>
      <c r="S50" s="3">
        <f>IF(NOT(ISNUMBER($A50)),"",Inputs!$C$21+$A50*Inputs!$E$7/SQRT(Inputs!$E$6^2+Inputs!$E$7^2+Inputs!$E$8^2))</f>
        <v>-269.45400000000001</v>
      </c>
      <c r="T50" s="3">
        <f>IF(NOT(ISNUMBER($A50)),"",Inputs!$D$21+$A50*Inputs!$E$8/SQRT(Inputs!$E$6^2+Inputs!$E$7^2+Inputs!$E$8^2))</f>
        <v>182.18899999999999</v>
      </c>
      <c r="U50" s="3">
        <f>IF(NOT(ISNUMBER($A50)),"",Inputs!$B$19+Geometry!$C$15-R50)</f>
        <v>-24.932661268328502</v>
      </c>
      <c r="V50" s="3">
        <f>IF(NOT(ISNUMBER($A50)),"",Inputs!$C$19+Geometry!$C$16-S50)</f>
        <v>-171.76798447238372</v>
      </c>
      <c r="W50" s="3">
        <f>IF(NOT(ISNUMBER($A50)),"",Inputs!$D$19+Geometry!$C$17-T50)</f>
        <v>11.015351937228701</v>
      </c>
      <c r="X50" s="3">
        <f>IF(NOT(ISNUMBER($A50)),"",2*(U50*Geometry!$C$18+V50*Geometry!$C$19+W50*Geometry!$C$20))</f>
        <v>6401.4873025827765</v>
      </c>
      <c r="Y50" s="3">
        <f>IF(NOT(ISNUMBER($A50)),"",2*(U50*Geometry!$C$21+V50*Geometry!$C$22+W50*Geometry!$C$23))</f>
        <v>-51756.100767913689</v>
      </c>
      <c r="Z50" s="3">
        <f>IF(NOT(ISNUMBER($A50)),"",Geometry!$C$24^2-(U50^2+V50^2+W50^2)-(Geometry!$C$18^2+Geometry!$C$19^2+Geometry!$C$20^2))</f>
        <v>11592.615302582781</v>
      </c>
      <c r="AA50" s="3">
        <f t="shared" si="15"/>
        <v>52150.484239204954</v>
      </c>
      <c r="AB50" s="3">
        <f t="shared" si="16"/>
        <v>0.22229161381147539</v>
      </c>
      <c r="AC50" s="3">
        <f t="shared" si="17"/>
        <v>-1.4477356637109382</v>
      </c>
      <c r="AD50" s="3">
        <f t="shared" si="18"/>
        <v>1.3466320627665933</v>
      </c>
      <c r="AE50" s="3">
        <f>IF(AC50="","",MOD(AC50+Geometry!$C$47*AD50+PI(),2*PI())-PI())</f>
        <v>-0.10110360094434512</v>
      </c>
      <c r="AF50" s="3" t="b">
        <f t="shared" si="19"/>
        <v>1</v>
      </c>
      <c r="AG50" s="3">
        <f>IF(AF50=FALSE,"",IF((Geometry!$C$28*COS(AE50)+Geometry!$C$32*SIN(AE50)+Geometry!$C$8*Geometry!$C$30*(1-COS(AE50)))&gt;=0,1,-1)*ACOS(MAX(-1,MIN(1,(Geometry!$C$27*COS(AE50)+Geometry!$C$31*SIN(AE50)+Geometry!$C$7*Geometry!$C$30*(1-COS(AE50)))/SQRT((Geometry!$C$27*COS(AE50)+Geometry!$C$31*SIN(AE50)+Geometry!$C$7*Geometry!$C$30*(1-COS(AE50)))^2+(Geometry!$C$28*COS(AE50)+Geometry!$C$32*SIN(AE50)+Geometry!$C$8*Geometry!$C$30*(1-COS(AE50)))^2))))*180/PI())</f>
        <v>-5.690034382269058</v>
      </c>
    </row>
    <row r="51" spans="1:33">
      <c r="A51" s="3">
        <f>IF(Inputs!$E$9+49*Inputs!$E$11&lt;=Inputs!$E$10,Inputs!$E$9+49*Inputs!$E$11,"")</f>
        <v>-11</v>
      </c>
      <c r="B51" s="3">
        <f>IF(NOT(ISNUMBER($A51)),"",Inputs!$B$17+$A51*Inputs!$E$6/SQRT(Inputs!$E$6^2+Inputs!$E$7^2+Inputs!$E$8^2))</f>
        <v>919.87300000000005</v>
      </c>
      <c r="C51" s="3">
        <f>IF(NOT(ISNUMBER($A51)),"",Inputs!$C$17+$A51*Inputs!$E$7/SQRT(Inputs!$E$6^2+Inputs!$E$7^2+Inputs!$E$8^2))</f>
        <v>246.45400000000001</v>
      </c>
      <c r="D51" s="3">
        <f>IF(NOT(ISNUMBER($A51)),"",Inputs!$D$17+$A51*Inputs!$E$8/SQRT(Inputs!$E$6^2+Inputs!$E$7^2+Inputs!$E$8^2))</f>
        <v>182.18899999999999</v>
      </c>
      <c r="E51" s="3">
        <f>IF(NOT(ISNUMBER($A51)),"",Inputs!$B$15+Geometry!$B$15-B51)</f>
        <v>-24.932661268328502</v>
      </c>
      <c r="F51" s="3">
        <f>IF(NOT(ISNUMBER($A51)),"",Inputs!$C$15+Geometry!$B$16-C51)</f>
        <v>194.76798447238372</v>
      </c>
      <c r="G51" s="3">
        <f>IF(NOT(ISNUMBER($A51)),"",Inputs!$D$15+Geometry!$B$17-D51)</f>
        <v>11.015351937228701</v>
      </c>
      <c r="H51" s="3">
        <f>IF(NOT(ISNUMBER($A51)),"",2*(E51*Geometry!$B$18+F51*Geometry!$B$19+G51*Geometry!$B$20))</f>
        <v>8173.8220168531243</v>
      </c>
      <c r="I51" s="3">
        <f>IF(NOT(ISNUMBER($A51)),"",2*(E51*Geometry!$B$21+F51*Geometry!$B$22+G51*Geometry!$B$23))</f>
        <v>58345.19515245103</v>
      </c>
      <c r="J51" s="3">
        <f>IF(NOT(ISNUMBER($A51)),"",Geometry!$B$24^2-(E51^2+F51^2+G51^2)-(Geometry!$B$18^2+Geometry!$B$19^2+Geometry!$B$20^2))</f>
        <v>3162.2880168531337</v>
      </c>
      <c r="K51" s="3">
        <f t="shared" si="10"/>
        <v>58914.965532882969</v>
      </c>
      <c r="L51" s="3">
        <f t="shared" si="11"/>
        <v>5.3675462393135497E-2</v>
      </c>
      <c r="M51" s="3">
        <f t="shared" si="12"/>
        <v>1.4316080212367825</v>
      </c>
      <c r="N51" s="3">
        <f t="shared" si="13"/>
        <v>1.5170950572672015</v>
      </c>
      <c r="O51" s="3">
        <f>IF(M51="","",MOD(M51+Geometry!$B$47*N51+PI(),2*PI())-PI())</f>
        <v>-8.5487036030419183E-2</v>
      </c>
      <c r="P51" s="3" t="b">
        <f t="shared" si="14"/>
        <v>1</v>
      </c>
      <c r="Q51" s="3">
        <f>IF(P51=FALSE,"",IF((Geometry!$B$28*COS(O51)+Geometry!$B$32*SIN(O51)+Geometry!$B$8*Geometry!$B$30*(1-COS(O51)))&gt;=0,1,-1)*ACOS(MAX(-1,MIN(1,(Geometry!$B$27*COS(O51)+Geometry!$B$31*SIN(O51)+Geometry!$B$7*Geometry!$B$30*(1-COS(O51)))/SQRT((Geometry!$B$27*COS(O51)+Geometry!$B$31*SIN(O51)+Geometry!$B$7*Geometry!$B$30*(1-COS(O51)))^2+(Geometry!$B$28*COS(O51)+Geometry!$B$32*SIN(O51)+Geometry!$B$8*Geometry!$B$30*(1-COS(O51)))^2))))*180/PI())</f>
        <v>-4.8053483362141796</v>
      </c>
      <c r="R51" s="3">
        <f>IF(NOT(ISNUMBER($A51)),"",Inputs!$B$21+$A51*Inputs!$E$6/SQRT(Inputs!$E$6^2+Inputs!$E$7^2+Inputs!$E$8^2))</f>
        <v>919.87300000000005</v>
      </c>
      <c r="S51" s="3">
        <f>IF(NOT(ISNUMBER($A51)),"",Inputs!$C$21+$A51*Inputs!$E$7/SQRT(Inputs!$E$6^2+Inputs!$E$7^2+Inputs!$E$8^2))</f>
        <v>-268.45400000000001</v>
      </c>
      <c r="T51" s="3">
        <f>IF(NOT(ISNUMBER($A51)),"",Inputs!$D$21+$A51*Inputs!$E$8/SQRT(Inputs!$E$6^2+Inputs!$E$7^2+Inputs!$E$8^2))</f>
        <v>182.18899999999999</v>
      </c>
      <c r="U51" s="3">
        <f>IF(NOT(ISNUMBER($A51)),"",Inputs!$B$19+Geometry!$C$15-R51)</f>
        <v>-24.932661268328502</v>
      </c>
      <c r="V51" s="3">
        <f>IF(NOT(ISNUMBER($A51)),"",Inputs!$C$19+Geometry!$C$16-S51)</f>
        <v>-172.76798447238372</v>
      </c>
      <c r="W51" s="3">
        <f>IF(NOT(ISNUMBER($A51)),"",Inputs!$D$19+Geometry!$C$17-T51)</f>
        <v>11.015351937228701</v>
      </c>
      <c r="X51" s="3">
        <f>IF(NOT(ISNUMBER($A51)),"",2*(U51*Geometry!$C$18+V51*Geometry!$C$19+W51*Geometry!$C$20))</f>
        <v>6478.5453336380087</v>
      </c>
      <c r="Y51" s="3">
        <f>IF(NOT(ISNUMBER($A51)),"",2*(U51*Geometry!$C$21+V51*Geometry!$C$22+W51*Geometry!$C$23))</f>
        <v>-52042.583132458785</v>
      </c>
      <c r="Z51" s="3">
        <f>IF(NOT(ISNUMBER($A51)),"",Geometry!$C$24^2-(U51^2+V51^2+W51^2)-(Geometry!$C$18^2+Geometry!$C$19^2+Geometry!$C$20^2))</f>
        <v>11248.079333638016</v>
      </c>
      <c r="AA51" s="3">
        <f t="shared" si="15"/>
        <v>52444.275271366714</v>
      </c>
      <c r="AB51" s="3">
        <f t="shared" si="16"/>
        <v>0.21447678083901733</v>
      </c>
      <c r="AC51" s="3">
        <f t="shared" si="17"/>
        <v>-1.4469479801008329</v>
      </c>
      <c r="AD51" s="3">
        <f t="shared" si="18"/>
        <v>1.3546402135291198</v>
      </c>
      <c r="AE51" s="3">
        <f>IF(AC51="","",MOD(AC51+Geometry!$C$47*AD51+PI(),2*PI())-PI())</f>
        <v>-9.2307766571713135E-2</v>
      </c>
      <c r="AF51" s="3" t="b">
        <f t="shared" si="19"/>
        <v>1</v>
      </c>
      <c r="AG51" s="3">
        <f>IF(AF51=FALSE,"",IF((Geometry!$C$28*COS(AE51)+Geometry!$C$32*SIN(AE51)+Geometry!$C$8*Geometry!$C$30*(1-COS(AE51)))&gt;=0,1,-1)*ACOS(MAX(-1,MIN(1,(Geometry!$C$27*COS(AE51)+Geometry!$C$31*SIN(AE51)+Geometry!$C$7*Geometry!$C$30*(1-COS(AE51)))/SQRT((Geometry!$C$27*COS(AE51)+Geometry!$C$31*SIN(AE51)+Geometry!$C$7*Geometry!$C$30*(1-COS(AE51)))^2+(Geometry!$C$28*COS(AE51)+Geometry!$C$32*SIN(AE51)+Geometry!$C$8*Geometry!$C$30*(1-COS(AE51)))^2))))*180/PI())</f>
        <v>-5.1946404938103337</v>
      </c>
    </row>
    <row r="52" spans="1:33">
      <c r="A52" s="3">
        <f>IF(Inputs!$E$9+50*Inputs!$E$11&lt;=Inputs!$E$10,Inputs!$E$9+50*Inputs!$E$11,"")</f>
        <v>-10</v>
      </c>
      <c r="B52" s="3">
        <f>IF(NOT(ISNUMBER($A52)),"",Inputs!$B$17+$A52*Inputs!$E$6/SQRT(Inputs!$E$6^2+Inputs!$E$7^2+Inputs!$E$8^2))</f>
        <v>919.87300000000005</v>
      </c>
      <c r="C52" s="3">
        <f>IF(NOT(ISNUMBER($A52)),"",Inputs!$C$17+$A52*Inputs!$E$7/SQRT(Inputs!$E$6^2+Inputs!$E$7^2+Inputs!$E$8^2))</f>
        <v>247.45400000000001</v>
      </c>
      <c r="D52" s="3">
        <f>IF(NOT(ISNUMBER($A52)),"",Inputs!$D$17+$A52*Inputs!$E$8/SQRT(Inputs!$E$6^2+Inputs!$E$7^2+Inputs!$E$8^2))</f>
        <v>182.18899999999999</v>
      </c>
      <c r="E52" s="3">
        <f>IF(NOT(ISNUMBER($A52)),"",Inputs!$B$15+Geometry!$B$15-B52)</f>
        <v>-24.932661268328502</v>
      </c>
      <c r="F52" s="3">
        <f>IF(NOT(ISNUMBER($A52)),"",Inputs!$C$15+Geometry!$B$16-C52)</f>
        <v>193.76798447238372</v>
      </c>
      <c r="G52" s="3">
        <f>IF(NOT(ISNUMBER($A52)),"",Inputs!$D$15+Geometry!$B$17-D52)</f>
        <v>11.015351937228701</v>
      </c>
      <c r="H52" s="3">
        <f>IF(NOT(ISNUMBER($A52)),"",2*(E52*Geometry!$B$18+F52*Geometry!$B$19+G52*Geometry!$B$20))</f>
        <v>8096.763985797892</v>
      </c>
      <c r="I52" s="3">
        <f>IF(NOT(ISNUMBER($A52)),"",2*(E52*Geometry!$B$21+F52*Geometry!$B$22+G52*Geometry!$B$23))</f>
        <v>58058.712787905926</v>
      </c>
      <c r="J52" s="3">
        <f>IF(NOT(ISNUMBER($A52)),"",Geometry!$B$24^2-(E52^2+F52^2+G52^2)-(Geometry!$B$18^2+Geometry!$B$19^2+Geometry!$B$20^2))</f>
        <v>3550.8239857978988</v>
      </c>
      <c r="K52" s="3">
        <f t="shared" si="10"/>
        <v>58620.57418373062</v>
      </c>
      <c r="L52" s="3">
        <f t="shared" si="11"/>
        <v>6.0572999074843314E-2</v>
      </c>
      <c r="M52" s="3">
        <f t="shared" si="12"/>
        <v>1.4322318027934702</v>
      </c>
      <c r="N52" s="3">
        <f t="shared" si="13"/>
        <v>1.5101862251481466</v>
      </c>
      <c r="O52" s="3">
        <f>IF(M52="","",MOD(M52+Geometry!$B$47*N52+PI(),2*PI())-PI())</f>
        <v>-7.7954422354676645E-2</v>
      </c>
      <c r="P52" s="3" t="b">
        <f t="shared" si="14"/>
        <v>1</v>
      </c>
      <c r="Q52" s="3">
        <f>IF(P52=FALSE,"",IF((Geometry!$B$28*COS(O52)+Geometry!$B$32*SIN(O52)+Geometry!$B$8*Geometry!$B$30*(1-COS(O52)))&gt;=0,1,-1)*ACOS(MAX(-1,MIN(1,(Geometry!$B$27*COS(O52)+Geometry!$B$31*SIN(O52)+Geometry!$B$7*Geometry!$B$30*(1-COS(O52)))/SQRT((Geometry!$B$27*COS(O52)+Geometry!$B$31*SIN(O52)+Geometry!$B$7*Geometry!$B$30*(1-COS(O52)))^2+(Geometry!$B$28*COS(O52)+Geometry!$B$32*SIN(O52)+Geometry!$B$8*Geometry!$B$30*(1-COS(O52)))^2))))*180/PI())</f>
        <v>-4.3820839826230813</v>
      </c>
      <c r="R52" s="3">
        <f>IF(NOT(ISNUMBER($A52)),"",Inputs!$B$21+$A52*Inputs!$E$6/SQRT(Inputs!$E$6^2+Inputs!$E$7^2+Inputs!$E$8^2))</f>
        <v>919.87300000000005</v>
      </c>
      <c r="S52" s="3">
        <f>IF(NOT(ISNUMBER($A52)),"",Inputs!$C$21+$A52*Inputs!$E$7/SQRT(Inputs!$E$6^2+Inputs!$E$7^2+Inputs!$E$8^2))</f>
        <v>-267.45400000000001</v>
      </c>
      <c r="T52" s="3">
        <f>IF(NOT(ISNUMBER($A52)),"",Inputs!$D$21+$A52*Inputs!$E$8/SQRT(Inputs!$E$6^2+Inputs!$E$7^2+Inputs!$E$8^2))</f>
        <v>182.18899999999999</v>
      </c>
      <c r="U52" s="3">
        <f>IF(NOT(ISNUMBER($A52)),"",Inputs!$B$19+Geometry!$C$15-R52)</f>
        <v>-24.932661268328502</v>
      </c>
      <c r="V52" s="3">
        <f>IF(NOT(ISNUMBER($A52)),"",Inputs!$C$19+Geometry!$C$16-S52)</f>
        <v>-173.76798447238372</v>
      </c>
      <c r="W52" s="3">
        <f>IF(NOT(ISNUMBER($A52)),"",Inputs!$D$19+Geometry!$C$17-T52)</f>
        <v>11.015351937228701</v>
      </c>
      <c r="X52" s="3">
        <f>IF(NOT(ISNUMBER($A52)),"",2*(U52*Geometry!$C$18+V52*Geometry!$C$19+W52*Geometry!$C$20))</f>
        <v>6555.603364693241</v>
      </c>
      <c r="Y52" s="3">
        <f>IF(NOT(ISNUMBER($A52)),"",2*(U52*Geometry!$C$21+V52*Geometry!$C$22+W52*Geometry!$C$23))</f>
        <v>-52329.065497003889</v>
      </c>
      <c r="Z52" s="3">
        <f>IF(NOT(ISNUMBER($A52)),"",Geometry!$C$24^2-(U52^2+V52^2+W52^2)-(Geometry!$C$18^2+Geometry!$C$19^2+Geometry!$C$20^2))</f>
        <v>10901.543364693251</v>
      </c>
      <c r="AA52" s="3">
        <f t="shared" si="15"/>
        <v>52738.098479798267</v>
      </c>
      <c r="AB52" s="3">
        <f t="shared" si="16"/>
        <v>0.20671096757250682</v>
      </c>
      <c r="AC52" s="3">
        <f t="shared" si="17"/>
        <v>-1.4461690729580985</v>
      </c>
      <c r="AD52" s="3">
        <f t="shared" si="18"/>
        <v>1.3625842048742638</v>
      </c>
      <c r="AE52" s="3">
        <f>IF(AC52="","",MOD(AC52+Geometry!$C$47*AD52+PI(),2*PI())-PI())</f>
        <v>-8.3584868083834696E-2</v>
      </c>
      <c r="AF52" s="3" t="b">
        <f t="shared" si="19"/>
        <v>1</v>
      </c>
      <c r="AG52" s="3">
        <f>IF(AF52=FALSE,"",IF((Geometry!$C$28*COS(AE52)+Geometry!$C$32*SIN(AE52)+Geometry!$C$8*Geometry!$C$30*(1-COS(AE52)))&gt;=0,1,-1)*ACOS(MAX(-1,MIN(1,(Geometry!$C$27*COS(AE52)+Geometry!$C$31*SIN(AE52)+Geometry!$C$7*Geometry!$C$30*(1-COS(AE52)))/SQRT((Geometry!$C$27*COS(AE52)+Geometry!$C$31*SIN(AE52)+Geometry!$C$7*Geometry!$C$30*(1-COS(AE52)))^2+(Geometry!$C$28*COS(AE52)+Geometry!$C$32*SIN(AE52)+Geometry!$C$8*Geometry!$C$30*(1-COS(AE52)))^2))))*180/PI())</f>
        <v>-4.7034305307106115</v>
      </c>
    </row>
    <row r="53" spans="1:33">
      <c r="A53" s="3">
        <f>IF(Inputs!$E$9+51*Inputs!$E$11&lt;=Inputs!$E$10,Inputs!$E$9+51*Inputs!$E$11,"")</f>
        <v>-9</v>
      </c>
      <c r="B53" s="3">
        <f>IF(NOT(ISNUMBER($A53)),"",Inputs!$B$17+$A53*Inputs!$E$6/SQRT(Inputs!$E$6^2+Inputs!$E$7^2+Inputs!$E$8^2))</f>
        <v>919.87300000000005</v>
      </c>
      <c r="C53" s="3">
        <f>IF(NOT(ISNUMBER($A53)),"",Inputs!$C$17+$A53*Inputs!$E$7/SQRT(Inputs!$E$6^2+Inputs!$E$7^2+Inputs!$E$8^2))</f>
        <v>248.45400000000001</v>
      </c>
      <c r="D53" s="3">
        <f>IF(NOT(ISNUMBER($A53)),"",Inputs!$D$17+$A53*Inputs!$E$8/SQRT(Inputs!$E$6^2+Inputs!$E$7^2+Inputs!$E$8^2))</f>
        <v>182.18899999999999</v>
      </c>
      <c r="E53" s="3">
        <f>IF(NOT(ISNUMBER($A53)),"",Inputs!$B$15+Geometry!$B$15-B53)</f>
        <v>-24.932661268328502</v>
      </c>
      <c r="F53" s="3">
        <f>IF(NOT(ISNUMBER($A53)),"",Inputs!$C$15+Geometry!$B$16-C53)</f>
        <v>192.76798447238372</v>
      </c>
      <c r="G53" s="3">
        <f>IF(NOT(ISNUMBER($A53)),"",Inputs!$D$15+Geometry!$B$17-D53)</f>
        <v>11.015351937228701</v>
      </c>
      <c r="H53" s="3">
        <f>IF(NOT(ISNUMBER($A53)),"",2*(E53*Geometry!$B$18+F53*Geometry!$B$19+G53*Geometry!$B$20))</f>
        <v>8019.7059547426579</v>
      </c>
      <c r="I53" s="3">
        <f>IF(NOT(ISNUMBER($A53)),"",2*(E53*Geometry!$B$21+F53*Geometry!$B$22+G53*Geometry!$B$23))</f>
        <v>57772.230423360823</v>
      </c>
      <c r="J53" s="3">
        <f>IF(NOT(ISNUMBER($A53)),"",Geometry!$B$24^2-(E53^2+F53^2+G53^2)-(Geometry!$B$18^2+Geometry!$B$19^2+Geometry!$B$20^2))</f>
        <v>3937.3599547426711</v>
      </c>
      <c r="K53" s="3">
        <f t="shared" si="10"/>
        <v>58326.205874293184</v>
      </c>
      <c r="L53" s="3">
        <f t="shared" si="11"/>
        <v>6.7505847426945889E-2</v>
      </c>
      <c r="M53" s="3">
        <f t="shared" si="12"/>
        <v>1.4328618809617613</v>
      </c>
      <c r="N53" s="3">
        <f t="shared" si="13"/>
        <v>1.5032391028069823</v>
      </c>
      <c r="O53" s="3">
        <f>IF(M53="","",MOD(M53+Geometry!$B$47*N53+PI(),2*PI())-PI())</f>
        <v>-7.0377221845220994E-2</v>
      </c>
      <c r="P53" s="3" t="b">
        <f t="shared" si="14"/>
        <v>1</v>
      </c>
      <c r="Q53" s="3">
        <f>IF(P53=FALSE,"",IF((Geometry!$B$28*COS(O53)+Geometry!$B$32*SIN(O53)+Geometry!$B$8*Geometry!$B$30*(1-COS(O53)))&gt;=0,1,-1)*ACOS(MAX(-1,MIN(1,(Geometry!$B$27*COS(O53)+Geometry!$B$31*SIN(O53)+Geometry!$B$7*Geometry!$B$30*(1-COS(O53)))/SQRT((Geometry!$B$27*COS(O53)+Geometry!$B$31*SIN(O53)+Geometry!$B$7*Geometry!$B$30*(1-COS(O53)))^2+(Geometry!$B$28*COS(O53)+Geometry!$B$32*SIN(O53)+Geometry!$B$8*Geometry!$B$30*(1-COS(O53)))^2))))*180/PI())</f>
        <v>-3.9562888678213288</v>
      </c>
      <c r="R53" s="3">
        <f>IF(NOT(ISNUMBER($A53)),"",Inputs!$B$21+$A53*Inputs!$E$6/SQRT(Inputs!$E$6^2+Inputs!$E$7^2+Inputs!$E$8^2))</f>
        <v>919.87300000000005</v>
      </c>
      <c r="S53" s="3">
        <f>IF(NOT(ISNUMBER($A53)),"",Inputs!$C$21+$A53*Inputs!$E$7/SQRT(Inputs!$E$6^2+Inputs!$E$7^2+Inputs!$E$8^2))</f>
        <v>-266.45400000000001</v>
      </c>
      <c r="T53" s="3">
        <f>IF(NOT(ISNUMBER($A53)),"",Inputs!$D$21+$A53*Inputs!$E$8/SQRT(Inputs!$E$6^2+Inputs!$E$7^2+Inputs!$E$8^2))</f>
        <v>182.18899999999999</v>
      </c>
      <c r="U53" s="3">
        <f>IF(NOT(ISNUMBER($A53)),"",Inputs!$B$19+Geometry!$C$15-R53)</f>
        <v>-24.932661268328502</v>
      </c>
      <c r="V53" s="3">
        <f>IF(NOT(ISNUMBER($A53)),"",Inputs!$C$19+Geometry!$C$16-S53)</f>
        <v>-174.76798447238372</v>
      </c>
      <c r="W53" s="3">
        <f>IF(NOT(ISNUMBER($A53)),"",Inputs!$D$19+Geometry!$C$17-T53)</f>
        <v>11.015351937228701</v>
      </c>
      <c r="X53" s="3">
        <f>IF(NOT(ISNUMBER($A53)),"",2*(U53*Geometry!$C$18+V53*Geometry!$C$19+W53*Geometry!$C$20))</f>
        <v>6632.6613957484733</v>
      </c>
      <c r="Y53" s="3">
        <f>IF(NOT(ISNUMBER($A53)),"",2*(U53*Geometry!$C$21+V53*Geometry!$C$22+W53*Geometry!$C$23))</f>
        <v>-52615.547861548992</v>
      </c>
      <c r="Z53" s="3">
        <f>IF(NOT(ISNUMBER($A53)),"",Geometry!$C$24^2-(U53^2+V53^2+W53^2)-(Geometry!$C$18^2+Geometry!$C$19^2+Geometry!$C$20^2))</f>
        <v>10553.007395748486</v>
      </c>
      <c r="AA53" s="3">
        <f t="shared" si="15"/>
        <v>53031.953329682328</v>
      </c>
      <c r="AB53" s="3">
        <f t="shared" si="16"/>
        <v>0.19899337537397285</v>
      </c>
      <c r="AC53" s="3">
        <f t="shared" si="17"/>
        <v>-1.4453987973421993</v>
      </c>
      <c r="AD53" s="3">
        <f t="shared" si="18"/>
        <v>1.3704656804366744</v>
      </c>
      <c r="AE53" s="3">
        <f>IF(AC53="","",MOD(AC53+Geometry!$C$47*AD53+PI(),2*PI())-PI())</f>
        <v>-7.4933116905524955E-2</v>
      </c>
      <c r="AF53" s="3" t="b">
        <f t="shared" si="19"/>
        <v>1</v>
      </c>
      <c r="AG53" s="3">
        <f>IF(AF53=FALSE,"",IF((Geometry!$C$28*COS(AE53)+Geometry!$C$32*SIN(AE53)+Geometry!$C$8*Geometry!$C$30*(1-COS(AE53)))&gt;=0,1,-1)*ACOS(MAX(-1,MIN(1,(Geometry!$C$27*COS(AE53)+Geometry!$C$31*SIN(AE53)+Geometry!$C$7*Geometry!$C$30*(1-COS(AE53)))/SQRT((Geometry!$C$27*COS(AE53)+Geometry!$C$31*SIN(AE53)+Geometry!$C$7*Geometry!$C$30*(1-COS(AE53)))^2+(Geometry!$C$28*COS(AE53)+Geometry!$C$32*SIN(AE53)+Geometry!$C$8*Geometry!$C$30*(1-COS(AE53)))^2))))*180/PI())</f>
        <v>-4.2163000377466764</v>
      </c>
    </row>
    <row r="54" spans="1:33">
      <c r="A54" s="3">
        <f>IF(Inputs!$E$9+52*Inputs!$E$11&lt;=Inputs!$E$10,Inputs!$E$9+52*Inputs!$E$11,"")</f>
        <v>-8</v>
      </c>
      <c r="B54" s="3">
        <f>IF(NOT(ISNUMBER($A54)),"",Inputs!$B$17+$A54*Inputs!$E$6/SQRT(Inputs!$E$6^2+Inputs!$E$7^2+Inputs!$E$8^2))</f>
        <v>919.87300000000005</v>
      </c>
      <c r="C54" s="3">
        <f>IF(NOT(ISNUMBER($A54)),"",Inputs!$C$17+$A54*Inputs!$E$7/SQRT(Inputs!$E$6^2+Inputs!$E$7^2+Inputs!$E$8^2))</f>
        <v>249.45400000000001</v>
      </c>
      <c r="D54" s="3">
        <f>IF(NOT(ISNUMBER($A54)),"",Inputs!$D$17+$A54*Inputs!$E$8/SQRT(Inputs!$E$6^2+Inputs!$E$7^2+Inputs!$E$8^2))</f>
        <v>182.18899999999999</v>
      </c>
      <c r="E54" s="3">
        <f>IF(NOT(ISNUMBER($A54)),"",Inputs!$B$15+Geometry!$B$15-B54)</f>
        <v>-24.932661268328502</v>
      </c>
      <c r="F54" s="3">
        <f>IF(NOT(ISNUMBER($A54)),"",Inputs!$C$15+Geometry!$B$16-C54)</f>
        <v>191.76798447238372</v>
      </c>
      <c r="G54" s="3">
        <f>IF(NOT(ISNUMBER($A54)),"",Inputs!$D$15+Geometry!$B$17-D54)</f>
        <v>11.015351937228701</v>
      </c>
      <c r="H54" s="3">
        <f>IF(NOT(ISNUMBER($A54)),"",2*(E54*Geometry!$B$18+F54*Geometry!$B$19+G54*Geometry!$B$20))</f>
        <v>7942.6479236874256</v>
      </c>
      <c r="I54" s="3">
        <f>IF(NOT(ISNUMBER($A54)),"",2*(E54*Geometry!$B$21+F54*Geometry!$B$22+G54*Geometry!$B$23))</f>
        <v>57485.74805881572</v>
      </c>
      <c r="J54" s="3">
        <f>IF(NOT(ISNUMBER($A54)),"",Geometry!$B$24^2-(E54^2+F54^2+G54^2)-(Geometry!$B$18^2+Geometry!$B$19^2+Geometry!$B$20^2))</f>
        <v>4321.8959236874362</v>
      </c>
      <c r="K54" s="3">
        <f t="shared" si="10"/>
        <v>58031.860955179538</v>
      </c>
      <c r="L54" s="3">
        <f t="shared" si="11"/>
        <v>7.4474536100529662E-2</v>
      </c>
      <c r="M54" s="3">
        <f t="shared" si="12"/>
        <v>1.4334983510567705</v>
      </c>
      <c r="N54" s="3">
        <f t="shared" si="13"/>
        <v>1.4962527733315947</v>
      </c>
      <c r="O54" s="3">
        <f>IF(M54="","",MOD(M54+Geometry!$B$47*N54+PI(),2*PI())-PI())</f>
        <v>-6.2754422274823973E-2</v>
      </c>
      <c r="P54" s="3" t="b">
        <f t="shared" si="14"/>
        <v>1</v>
      </c>
      <c r="Q54" s="3">
        <f>IF(P54=FALSE,"",IF((Geometry!$B$28*COS(O54)+Geometry!$B$32*SIN(O54)+Geometry!$B$8*Geometry!$B$30*(1-COS(O54)))&gt;=0,1,-1)*ACOS(MAX(-1,MIN(1,(Geometry!$B$27*COS(O54)+Geometry!$B$31*SIN(O54)+Geometry!$B$7*Geometry!$B$30*(1-COS(O54)))/SQRT((Geometry!$B$27*COS(O54)+Geometry!$B$31*SIN(O54)+Geometry!$B$7*Geometry!$B$30*(1-COS(O54)))^2+(Geometry!$B$28*COS(O54)+Geometry!$B$32*SIN(O54)+Geometry!$B$8*Geometry!$B$30*(1-COS(O54)))^2))))*180/PI())</f>
        <v>-3.5279040725010407</v>
      </c>
      <c r="R54" s="3">
        <f>IF(NOT(ISNUMBER($A54)),"",Inputs!$B$21+$A54*Inputs!$E$6/SQRT(Inputs!$E$6^2+Inputs!$E$7^2+Inputs!$E$8^2))</f>
        <v>919.87300000000005</v>
      </c>
      <c r="S54" s="3">
        <f>IF(NOT(ISNUMBER($A54)),"",Inputs!$C$21+$A54*Inputs!$E$7/SQRT(Inputs!$E$6^2+Inputs!$E$7^2+Inputs!$E$8^2))</f>
        <v>-265.45400000000001</v>
      </c>
      <c r="T54" s="3">
        <f>IF(NOT(ISNUMBER($A54)),"",Inputs!$D$21+$A54*Inputs!$E$8/SQRT(Inputs!$E$6^2+Inputs!$E$7^2+Inputs!$E$8^2))</f>
        <v>182.18899999999999</v>
      </c>
      <c r="U54" s="3">
        <f>IF(NOT(ISNUMBER($A54)),"",Inputs!$B$19+Geometry!$C$15-R54)</f>
        <v>-24.932661268328502</v>
      </c>
      <c r="V54" s="3">
        <f>IF(NOT(ISNUMBER($A54)),"",Inputs!$C$19+Geometry!$C$16-S54)</f>
        <v>-175.76798447238372</v>
      </c>
      <c r="W54" s="3">
        <f>IF(NOT(ISNUMBER($A54)),"",Inputs!$D$19+Geometry!$C$17-T54)</f>
        <v>11.015351937228701</v>
      </c>
      <c r="X54" s="3">
        <f>IF(NOT(ISNUMBER($A54)),"",2*(U54*Geometry!$C$18+V54*Geometry!$C$19+W54*Geometry!$C$20))</f>
        <v>6709.7194268037056</v>
      </c>
      <c r="Y54" s="3">
        <f>IF(NOT(ISNUMBER($A54)),"",2*(U54*Geometry!$C$21+V54*Geometry!$C$22+W54*Geometry!$C$23))</f>
        <v>-52902.030226094095</v>
      </c>
      <c r="Z54" s="3">
        <f>IF(NOT(ISNUMBER($A54)),"",Geometry!$C$24^2-(U54^2+V54^2+W54^2)-(Geometry!$C$18^2+Geometry!$C$19^2+Geometry!$C$20^2))</f>
        <v>10202.471426803721</v>
      </c>
      <c r="AA54" s="3">
        <f t="shared" si="15"/>
        <v>53325.839297933235</v>
      </c>
      <c r="AB54" s="3">
        <f t="shared" si="16"/>
        <v>0.19132322268388827</v>
      </c>
      <c r="AC54" s="3">
        <f t="shared" si="17"/>
        <v>-1.4446370114662592</v>
      </c>
      <c r="AD54" s="3">
        <f t="shared" si="18"/>
        <v>1.3782862304348411</v>
      </c>
      <c r="AE54" s="3">
        <f>IF(AC54="","",MOD(AC54+Geometry!$C$47*AD54+PI(),2*PI())-PI())</f>
        <v>-6.6350781031418116E-2</v>
      </c>
      <c r="AF54" s="3" t="b">
        <f t="shared" si="19"/>
        <v>1</v>
      </c>
      <c r="AG54" s="3">
        <f>IF(AF54=FALSE,"",IF((Geometry!$C$28*COS(AE54)+Geometry!$C$32*SIN(AE54)+Geometry!$C$8*Geometry!$C$30*(1-COS(AE54)))&gt;=0,1,-1)*ACOS(MAX(-1,MIN(1,(Geometry!$C$27*COS(AE54)+Geometry!$C$31*SIN(AE54)+Geometry!$C$7*Geometry!$C$30*(1-COS(AE54)))/SQRT((Geometry!$C$27*COS(AE54)+Geometry!$C$31*SIN(AE54)+Geometry!$C$7*Geometry!$C$30*(1-COS(AE54)))^2+(Geometry!$C$28*COS(AE54)+Geometry!$C$32*SIN(AE54)+Geometry!$C$8*Geometry!$C$30*(1-COS(AE54)))^2))))*180/PI())</f>
        <v>-3.7331478794671695</v>
      </c>
    </row>
    <row r="55" spans="1:33">
      <c r="A55" s="3">
        <f>IF(Inputs!$E$9+53*Inputs!$E$11&lt;=Inputs!$E$10,Inputs!$E$9+53*Inputs!$E$11,"")</f>
        <v>-7</v>
      </c>
      <c r="B55" s="3">
        <f>IF(NOT(ISNUMBER($A55)),"",Inputs!$B$17+$A55*Inputs!$E$6/SQRT(Inputs!$E$6^2+Inputs!$E$7^2+Inputs!$E$8^2))</f>
        <v>919.87300000000005</v>
      </c>
      <c r="C55" s="3">
        <f>IF(NOT(ISNUMBER($A55)),"",Inputs!$C$17+$A55*Inputs!$E$7/SQRT(Inputs!$E$6^2+Inputs!$E$7^2+Inputs!$E$8^2))</f>
        <v>250.45400000000001</v>
      </c>
      <c r="D55" s="3">
        <f>IF(NOT(ISNUMBER($A55)),"",Inputs!$D$17+$A55*Inputs!$E$8/SQRT(Inputs!$E$6^2+Inputs!$E$7^2+Inputs!$E$8^2))</f>
        <v>182.18899999999999</v>
      </c>
      <c r="E55" s="3">
        <f>IF(NOT(ISNUMBER($A55)),"",Inputs!$B$15+Geometry!$B$15-B55)</f>
        <v>-24.932661268328502</v>
      </c>
      <c r="F55" s="3">
        <f>IF(NOT(ISNUMBER($A55)),"",Inputs!$C$15+Geometry!$B$16-C55)</f>
        <v>190.76798447238372</v>
      </c>
      <c r="G55" s="3">
        <f>IF(NOT(ISNUMBER($A55)),"",Inputs!$D$15+Geometry!$B$17-D55)</f>
        <v>11.015351937228701</v>
      </c>
      <c r="H55" s="3">
        <f>IF(NOT(ISNUMBER($A55)),"",2*(E55*Geometry!$B$18+F55*Geometry!$B$19+G55*Geometry!$B$20))</f>
        <v>7865.5898926321934</v>
      </c>
      <c r="I55" s="3">
        <f>IF(NOT(ISNUMBER($A55)),"",2*(E55*Geometry!$B$21+F55*Geometry!$B$22+G55*Geometry!$B$23))</f>
        <v>57199.265694270616</v>
      </c>
      <c r="J55" s="3">
        <f>IF(NOT(ISNUMBER($A55)),"",Geometry!$B$24^2-(E55^2+F55^2+G55^2)-(Geometry!$B$18^2+Geometry!$B$19^2+Geometry!$B$20^2))</f>
        <v>4704.4318926322012</v>
      </c>
      <c r="K55" s="3">
        <f t="shared" si="10"/>
        <v>57737.53978412001</v>
      </c>
      <c r="L55" s="3">
        <f t="shared" si="11"/>
        <v>8.1479604261317978E-2</v>
      </c>
      <c r="M55" s="3">
        <f t="shared" si="12"/>
        <v>1.4341413103166301</v>
      </c>
      <c r="N55" s="3">
        <f t="shared" si="13"/>
        <v>1.4892262959453082</v>
      </c>
      <c r="O55" s="3">
        <f>IF(M55="","",MOD(M55+Geometry!$B$47*N55+PI(),2*PI())-PI())</f>
        <v>-5.508498562867814E-2</v>
      </c>
      <c r="P55" s="3" t="b">
        <f t="shared" si="14"/>
        <v>1</v>
      </c>
      <c r="Q55" s="3">
        <f>IF(P55=FALSE,"",IF((Geometry!$B$28*COS(O55)+Geometry!$B$32*SIN(O55)+Geometry!$B$8*Geometry!$B$30*(1-COS(O55)))&gt;=0,1,-1)*ACOS(MAX(-1,MIN(1,(Geometry!$B$27*COS(O55)+Geometry!$B$31*SIN(O55)+Geometry!$B$7*Geometry!$B$30*(1-COS(O55)))/SQRT((Geometry!$B$27*COS(O55)+Geometry!$B$31*SIN(O55)+Geometry!$B$7*Geometry!$B$30*(1-COS(O55)))^2+(Geometry!$B$28*COS(O55)+Geometry!$B$32*SIN(O55)+Geometry!$B$8*Geometry!$B$30*(1-COS(O55)))^2))))*180/PI())</f>
        <v>-3.0968691667054373</v>
      </c>
      <c r="R55" s="3">
        <f>IF(NOT(ISNUMBER($A55)),"",Inputs!$B$21+$A55*Inputs!$E$6/SQRT(Inputs!$E$6^2+Inputs!$E$7^2+Inputs!$E$8^2))</f>
        <v>919.87300000000005</v>
      </c>
      <c r="S55" s="3">
        <f>IF(NOT(ISNUMBER($A55)),"",Inputs!$C$21+$A55*Inputs!$E$7/SQRT(Inputs!$E$6^2+Inputs!$E$7^2+Inputs!$E$8^2))</f>
        <v>-264.45400000000001</v>
      </c>
      <c r="T55" s="3">
        <f>IF(NOT(ISNUMBER($A55)),"",Inputs!$D$21+$A55*Inputs!$E$8/SQRT(Inputs!$E$6^2+Inputs!$E$7^2+Inputs!$E$8^2))</f>
        <v>182.18899999999999</v>
      </c>
      <c r="U55" s="3">
        <f>IF(NOT(ISNUMBER($A55)),"",Inputs!$B$19+Geometry!$C$15-R55)</f>
        <v>-24.932661268328502</v>
      </c>
      <c r="V55" s="3">
        <f>IF(NOT(ISNUMBER($A55)),"",Inputs!$C$19+Geometry!$C$16-S55)</f>
        <v>-176.76798447238372</v>
      </c>
      <c r="W55" s="3">
        <f>IF(NOT(ISNUMBER($A55)),"",Inputs!$D$19+Geometry!$C$17-T55)</f>
        <v>11.015351937228701</v>
      </c>
      <c r="X55" s="3">
        <f>IF(NOT(ISNUMBER($A55)),"",2*(U55*Geometry!$C$18+V55*Geometry!$C$19+W55*Geometry!$C$20))</f>
        <v>6786.7774578589379</v>
      </c>
      <c r="Y55" s="3">
        <f>IF(NOT(ISNUMBER($A55)),"",2*(U55*Geometry!$C$21+V55*Geometry!$C$22+W55*Geometry!$C$23))</f>
        <v>-53188.512590639199</v>
      </c>
      <c r="Z55" s="3">
        <f>IF(NOT(ISNUMBER($A55)),"",Geometry!$C$24^2-(U55^2+V55^2+W55^2)-(Geometry!$C$18^2+Geometry!$C$19^2+Geometry!$C$20^2))</f>
        <v>9849.9354578589482</v>
      </c>
      <c r="AA55" s="3">
        <f t="shared" si="15"/>
        <v>53619.755872878486</v>
      </c>
      <c r="AB55" s="3">
        <f t="shared" si="16"/>
        <v>0.18369974457196594</v>
      </c>
      <c r="AC55" s="3">
        <f t="shared" si="17"/>
        <v>-1.4438835766123104</v>
      </c>
      <c r="AD55" s="3">
        <f t="shared" si="18"/>
        <v>1.3860473941057152</v>
      </c>
      <c r="AE55" s="3">
        <f>IF(AC55="","",MOD(AC55+Geometry!$C$47*AD55+PI(),2*PI())-PI())</f>
        <v>-5.7836182506595168E-2</v>
      </c>
      <c r="AF55" s="3" t="b">
        <f t="shared" si="19"/>
        <v>1</v>
      </c>
      <c r="AG55" s="3">
        <f>IF(AF55=FALSE,"",IF((Geometry!$C$28*COS(AE55)+Geometry!$C$32*SIN(AE55)+Geometry!$C$8*Geometry!$C$30*(1-COS(AE55)))&gt;=0,1,-1)*ACOS(MAX(-1,MIN(1,(Geometry!$C$27*COS(AE55)+Geometry!$C$31*SIN(AE55)+Geometry!$C$7*Geometry!$C$30*(1-COS(AE55)))/SQRT((Geometry!$C$27*COS(AE55)+Geometry!$C$31*SIN(AE55)+Geometry!$C$7*Geometry!$C$30*(1-COS(AE55)))^2+(Geometry!$C$28*COS(AE55)+Geometry!$C$32*SIN(AE55)+Geometry!$C$8*Geometry!$C$30*(1-COS(AE55)))^2))))*180/PI())</f>
        <v>-3.2538760923066783</v>
      </c>
    </row>
    <row r="56" spans="1:33">
      <c r="A56" s="3">
        <f>IF(Inputs!$E$9+54*Inputs!$E$11&lt;=Inputs!$E$10,Inputs!$E$9+54*Inputs!$E$11,"")</f>
        <v>-6</v>
      </c>
      <c r="B56" s="3">
        <f>IF(NOT(ISNUMBER($A56)),"",Inputs!$B$17+$A56*Inputs!$E$6/SQRT(Inputs!$E$6^2+Inputs!$E$7^2+Inputs!$E$8^2))</f>
        <v>919.87300000000005</v>
      </c>
      <c r="C56" s="3">
        <f>IF(NOT(ISNUMBER($A56)),"",Inputs!$C$17+$A56*Inputs!$E$7/SQRT(Inputs!$E$6^2+Inputs!$E$7^2+Inputs!$E$8^2))</f>
        <v>251.45400000000001</v>
      </c>
      <c r="D56" s="3">
        <f>IF(NOT(ISNUMBER($A56)),"",Inputs!$D$17+$A56*Inputs!$E$8/SQRT(Inputs!$E$6^2+Inputs!$E$7^2+Inputs!$E$8^2))</f>
        <v>182.18899999999999</v>
      </c>
      <c r="E56" s="3">
        <f>IF(NOT(ISNUMBER($A56)),"",Inputs!$B$15+Geometry!$B$15-B56)</f>
        <v>-24.932661268328502</v>
      </c>
      <c r="F56" s="3">
        <f>IF(NOT(ISNUMBER($A56)),"",Inputs!$C$15+Geometry!$B$16-C56)</f>
        <v>189.76798447238372</v>
      </c>
      <c r="G56" s="3">
        <f>IF(NOT(ISNUMBER($A56)),"",Inputs!$D$15+Geometry!$B$17-D56)</f>
        <v>11.015351937228701</v>
      </c>
      <c r="H56" s="3">
        <f>IF(NOT(ISNUMBER($A56)),"",2*(E56*Geometry!$B$18+F56*Geometry!$B$19+G56*Geometry!$B$20))</f>
        <v>7788.5318615769611</v>
      </c>
      <c r="I56" s="3">
        <f>IF(NOT(ISNUMBER($A56)),"",2*(E56*Geometry!$B$21+F56*Geometry!$B$22+G56*Geometry!$B$23))</f>
        <v>56912.78332972552</v>
      </c>
      <c r="J56" s="3">
        <f>IF(NOT(ISNUMBER($A56)),"",Geometry!$B$24^2-(E56^2+F56^2+G56^2)-(Geometry!$B$18^2+Geometry!$B$19^2+Geometry!$B$20^2))</f>
        <v>5084.9678615769735</v>
      </c>
      <c r="K56" s="3">
        <f t="shared" si="10"/>
        <v>57443.242726147371</v>
      </c>
      <c r="L56" s="3">
        <f t="shared" si="11"/>
        <v>8.8521601850000825E-2</v>
      </c>
      <c r="M56" s="3">
        <f t="shared" si="12"/>
        <v>1.4347908579509592</v>
      </c>
      <c r="N56" s="3">
        <f t="shared" si="13"/>
        <v>1.4821587050605964</v>
      </c>
      <c r="O56" s="3">
        <f>IF(M56="","",MOD(M56+Geometry!$B$47*N56+PI(),2*PI())-PI())</f>
        <v>-4.736784710963704E-2</v>
      </c>
      <c r="P56" s="3" t="b">
        <f t="shared" si="14"/>
        <v>1</v>
      </c>
      <c r="Q56" s="3">
        <f>IF(P56=FALSE,"",IF((Geometry!$B$28*COS(O56)+Geometry!$B$32*SIN(O56)+Geometry!$B$8*Geometry!$B$30*(1-COS(O56)))&gt;=0,1,-1)*ACOS(MAX(-1,MIN(1,(Geometry!$B$27*COS(O56)+Geometry!$B$31*SIN(O56)+Geometry!$B$7*Geometry!$B$30*(1-COS(O56)))/SQRT((Geometry!$B$27*COS(O56)+Geometry!$B$31*SIN(O56)+Geometry!$B$7*Geometry!$B$30*(1-COS(O56)))^2+(Geometry!$B$28*COS(O56)+Geometry!$B$32*SIN(O56)+Geometry!$B$8*Geometry!$B$30*(1-COS(O56)))^2))))*180/PI())</f>
        <v>-2.6631221512956951</v>
      </c>
      <c r="R56" s="3">
        <f>IF(NOT(ISNUMBER($A56)),"",Inputs!$B$21+$A56*Inputs!$E$6/SQRT(Inputs!$E$6^2+Inputs!$E$7^2+Inputs!$E$8^2))</f>
        <v>919.87300000000005</v>
      </c>
      <c r="S56" s="3">
        <f>IF(NOT(ISNUMBER($A56)),"",Inputs!$C$21+$A56*Inputs!$E$7/SQRT(Inputs!$E$6^2+Inputs!$E$7^2+Inputs!$E$8^2))</f>
        <v>-263.45400000000001</v>
      </c>
      <c r="T56" s="3">
        <f>IF(NOT(ISNUMBER($A56)),"",Inputs!$D$21+$A56*Inputs!$E$8/SQRT(Inputs!$E$6^2+Inputs!$E$7^2+Inputs!$E$8^2))</f>
        <v>182.18899999999999</v>
      </c>
      <c r="U56" s="3">
        <f>IF(NOT(ISNUMBER($A56)),"",Inputs!$B$19+Geometry!$C$15-R56)</f>
        <v>-24.932661268328502</v>
      </c>
      <c r="V56" s="3">
        <f>IF(NOT(ISNUMBER($A56)),"",Inputs!$C$19+Geometry!$C$16-S56)</f>
        <v>-177.76798447238372</v>
      </c>
      <c r="W56" s="3">
        <f>IF(NOT(ISNUMBER($A56)),"",Inputs!$D$19+Geometry!$C$17-T56)</f>
        <v>11.015351937228701</v>
      </c>
      <c r="X56" s="3">
        <f>IF(NOT(ISNUMBER($A56)),"",2*(U56*Geometry!$C$18+V56*Geometry!$C$19+W56*Geometry!$C$20))</f>
        <v>6863.8354889141719</v>
      </c>
      <c r="Y56" s="3">
        <f>IF(NOT(ISNUMBER($A56)),"",2*(U56*Geometry!$C$21+V56*Geometry!$C$22+W56*Geometry!$C$23))</f>
        <v>-53474.994955184295</v>
      </c>
      <c r="Z56" s="3">
        <f>IF(NOT(ISNUMBER($A56)),"",Geometry!$C$24^2-(U56^2+V56^2+W56^2)-(Geometry!$C$18^2+Geometry!$C$19^2+Geometry!$C$20^2))</f>
        <v>9495.3994889141795</v>
      </c>
      <c r="AA56" s="3">
        <f t="shared" si="15"/>
        <v>53913.702553950643</v>
      </c>
      <c r="AB56" s="3">
        <f t="shared" si="16"/>
        <v>0.17612219230189716</v>
      </c>
      <c r="AC56" s="3">
        <f t="shared" si="17"/>
        <v>-1.4431383570492409</v>
      </c>
      <c r="AD56" s="3">
        <f t="shared" si="18"/>
        <v>1.3937506620010771</v>
      </c>
      <c r="AE56" s="3">
        <f>IF(AC56="","",MOD(AC56+Geometry!$C$47*AD56+PI(),2*PI())-PI())</f>
        <v>-4.938769504816376E-2</v>
      </c>
      <c r="AF56" s="3" t="b">
        <f t="shared" si="19"/>
        <v>1</v>
      </c>
      <c r="AG56" s="3">
        <f>IF(AF56=FALSE,"",IF((Geometry!$C$28*COS(AE56)+Geometry!$C$32*SIN(AE56)+Geometry!$C$8*Geometry!$C$30*(1-COS(AE56)))&gt;=0,1,-1)*ACOS(MAX(-1,MIN(1,(Geometry!$C$27*COS(AE56)+Geometry!$C$31*SIN(AE56)+Geometry!$C$7*Geometry!$C$30*(1-COS(AE56)))/SQRT((Geometry!$C$27*COS(AE56)+Geometry!$C$31*SIN(AE56)+Geometry!$C$7*Geometry!$C$30*(1-COS(AE56)))^2+(Geometry!$C$28*COS(AE56)+Geometry!$C$32*SIN(AE56)+Geometry!$C$8*Geometry!$C$30*(1-COS(AE56)))^2))))*180/PI())</f>
        <v>-2.7783897449434836</v>
      </c>
    </row>
    <row r="57" spans="1:33">
      <c r="A57" s="3">
        <f>IF(Inputs!$E$9+55*Inputs!$E$11&lt;=Inputs!$E$10,Inputs!$E$9+55*Inputs!$E$11,"")</f>
        <v>-5</v>
      </c>
      <c r="B57" s="3">
        <f>IF(NOT(ISNUMBER($A57)),"",Inputs!$B$17+$A57*Inputs!$E$6/SQRT(Inputs!$E$6^2+Inputs!$E$7^2+Inputs!$E$8^2))</f>
        <v>919.87300000000005</v>
      </c>
      <c r="C57" s="3">
        <f>IF(NOT(ISNUMBER($A57)),"",Inputs!$C$17+$A57*Inputs!$E$7/SQRT(Inputs!$E$6^2+Inputs!$E$7^2+Inputs!$E$8^2))</f>
        <v>252.45400000000001</v>
      </c>
      <c r="D57" s="3">
        <f>IF(NOT(ISNUMBER($A57)),"",Inputs!$D$17+$A57*Inputs!$E$8/SQRT(Inputs!$E$6^2+Inputs!$E$7^2+Inputs!$E$8^2))</f>
        <v>182.18899999999999</v>
      </c>
      <c r="E57" s="3">
        <f>IF(NOT(ISNUMBER($A57)),"",Inputs!$B$15+Geometry!$B$15-B57)</f>
        <v>-24.932661268328502</v>
      </c>
      <c r="F57" s="3">
        <f>IF(NOT(ISNUMBER($A57)),"",Inputs!$C$15+Geometry!$B$16-C57)</f>
        <v>188.76798447238372</v>
      </c>
      <c r="G57" s="3">
        <f>IF(NOT(ISNUMBER($A57)),"",Inputs!$D$15+Geometry!$B$17-D57)</f>
        <v>11.015351937228701</v>
      </c>
      <c r="H57" s="3">
        <f>IF(NOT(ISNUMBER($A57)),"",2*(E57*Geometry!$B$18+F57*Geometry!$B$19+G57*Geometry!$B$20))</f>
        <v>7711.4738305217288</v>
      </c>
      <c r="I57" s="3">
        <f>IF(NOT(ISNUMBER($A57)),"",2*(E57*Geometry!$B$21+F57*Geometry!$B$22+G57*Geometry!$B$23))</f>
        <v>56626.300965180417</v>
      </c>
      <c r="J57" s="3">
        <f>IF(NOT(ISNUMBER($A57)),"",Geometry!$B$24^2-(E57^2+F57^2+G57^2)-(Geometry!$B$18^2+Geometry!$B$19^2+Geometry!$B$20^2))</f>
        <v>5463.5038305217386</v>
      </c>
      <c r="K57" s="3">
        <f t="shared" si="10"/>
        <v>57148.970153783303</v>
      </c>
      <c r="L57" s="3">
        <f t="shared" si="11"/>
        <v>9.5601089850261292E-2</v>
      </c>
      <c r="M57" s="3">
        <f t="shared" si="12"/>
        <v>1.4354470951907983</v>
      </c>
      <c r="N57" s="3">
        <f t="shared" si="13"/>
        <v>1.4750490092870783</v>
      </c>
      <c r="O57" s="3">
        <f>IF(M57="","",MOD(M57+Geometry!$B$47*N57+PI(),2*PI())-PI())</f>
        <v>-3.9601914096279778E-2</v>
      </c>
      <c r="P57" s="3" t="b">
        <f t="shared" si="14"/>
        <v>1</v>
      </c>
      <c r="Q57" s="3">
        <f>IF(P57=FALSE,"",IF((Geometry!$B$28*COS(O57)+Geometry!$B$32*SIN(O57)+Geometry!$B$8*Geometry!$B$30*(1-COS(O57)))&gt;=0,1,-1)*ACOS(MAX(-1,MIN(1,(Geometry!$B$27*COS(O57)+Geometry!$B$31*SIN(O57)+Geometry!$B$7*Geometry!$B$30*(1-COS(O57)))/SQRT((Geometry!$B$27*COS(O57)+Geometry!$B$31*SIN(O57)+Geometry!$B$7*Geometry!$B$30*(1-COS(O57)))^2+(Geometry!$B$28*COS(O57)+Geometry!$B$32*SIN(O57)+Geometry!$B$8*Geometry!$B$30*(1-COS(O57)))^2))))*180/PI())</f>
        <v>-2.2265993966451942</v>
      </c>
      <c r="R57" s="3">
        <f>IF(NOT(ISNUMBER($A57)),"",Inputs!$B$21+$A57*Inputs!$E$6/SQRT(Inputs!$E$6^2+Inputs!$E$7^2+Inputs!$E$8^2))</f>
        <v>919.87300000000005</v>
      </c>
      <c r="S57" s="3">
        <f>IF(NOT(ISNUMBER($A57)),"",Inputs!$C$21+$A57*Inputs!$E$7/SQRT(Inputs!$E$6^2+Inputs!$E$7^2+Inputs!$E$8^2))</f>
        <v>-262.45400000000001</v>
      </c>
      <c r="T57" s="3">
        <f>IF(NOT(ISNUMBER($A57)),"",Inputs!$D$21+$A57*Inputs!$E$8/SQRT(Inputs!$E$6^2+Inputs!$E$7^2+Inputs!$E$8^2))</f>
        <v>182.18899999999999</v>
      </c>
      <c r="U57" s="3">
        <f>IF(NOT(ISNUMBER($A57)),"",Inputs!$B$19+Geometry!$C$15-R57)</f>
        <v>-24.932661268328502</v>
      </c>
      <c r="V57" s="3">
        <f>IF(NOT(ISNUMBER($A57)),"",Inputs!$C$19+Geometry!$C$16-S57)</f>
        <v>-178.76798447238372</v>
      </c>
      <c r="W57" s="3">
        <f>IF(NOT(ISNUMBER($A57)),"",Inputs!$D$19+Geometry!$C$17-T57)</f>
        <v>11.015351937228701</v>
      </c>
      <c r="X57" s="3">
        <f>IF(NOT(ISNUMBER($A57)),"",2*(U57*Geometry!$C$18+V57*Geometry!$C$19+W57*Geometry!$C$20))</f>
        <v>6940.8935199694042</v>
      </c>
      <c r="Y57" s="3">
        <f>IF(NOT(ISNUMBER($A57)),"",2*(U57*Geometry!$C$21+V57*Geometry!$C$22+W57*Geometry!$C$23))</f>
        <v>-53761.477319729398</v>
      </c>
      <c r="Z57" s="3">
        <f>IF(NOT(ISNUMBER($A57)),"",Geometry!$C$24^2-(U57^2+V57^2+W57^2)-(Geometry!$C$18^2+Geometry!$C$19^2+Geometry!$C$20^2))</f>
        <v>9138.8635199694145</v>
      </c>
      <c r="AA57" s="3">
        <f t="shared" si="15"/>
        <v>54207.67885138905</v>
      </c>
      <c r="AB57" s="3">
        <f t="shared" si="16"/>
        <v>0.168589832909535</v>
      </c>
      <c r="AC57" s="3">
        <f t="shared" si="17"/>
        <v>-1.4424012199533467</v>
      </c>
      <c r="AD57" s="3">
        <f t="shared" si="18"/>
        <v>1.401397478155217</v>
      </c>
      <c r="AE57" s="3">
        <f>IF(AC57="","",MOD(AC57+Geometry!$C$47*AD57+PI(),2*PI())-PI())</f>
        <v>-4.1003741798129489E-2</v>
      </c>
      <c r="AF57" s="3" t="b">
        <f t="shared" si="19"/>
        <v>1</v>
      </c>
      <c r="AG57" s="3">
        <f>IF(AF57=FALSE,"",IF((Geometry!$C$28*COS(AE57)+Geometry!$C$32*SIN(AE57)+Geometry!$C$8*Geometry!$C$30*(1-COS(AE57)))&gt;=0,1,-1)*ACOS(MAX(-1,MIN(1,(Geometry!$C$27*COS(AE57)+Geometry!$C$31*SIN(AE57)+Geometry!$C$7*Geometry!$C$30*(1-COS(AE57)))/SQRT((Geometry!$C$27*COS(AE57)+Geometry!$C$31*SIN(AE57)+Geometry!$C$7*Geometry!$C$30*(1-COS(AE57)))^2+(Geometry!$C$28*COS(AE57)+Geometry!$C$32*SIN(AE57)+Geometry!$C$8*Geometry!$C$30*(1-COS(AE57)))^2))))*180/PI())</f>
        <v>-2.3065968063392197</v>
      </c>
    </row>
    <row r="58" spans="1:33">
      <c r="A58" s="3">
        <f>IF(Inputs!$E$9+56*Inputs!$E$11&lt;=Inputs!$E$10,Inputs!$E$9+56*Inputs!$E$11,"")</f>
        <v>-4</v>
      </c>
      <c r="B58" s="3">
        <f>IF(NOT(ISNUMBER($A58)),"",Inputs!$B$17+$A58*Inputs!$E$6/SQRT(Inputs!$E$6^2+Inputs!$E$7^2+Inputs!$E$8^2))</f>
        <v>919.87300000000005</v>
      </c>
      <c r="C58" s="3">
        <f>IF(NOT(ISNUMBER($A58)),"",Inputs!$C$17+$A58*Inputs!$E$7/SQRT(Inputs!$E$6^2+Inputs!$E$7^2+Inputs!$E$8^2))</f>
        <v>253.45400000000001</v>
      </c>
      <c r="D58" s="3">
        <f>IF(NOT(ISNUMBER($A58)),"",Inputs!$D$17+$A58*Inputs!$E$8/SQRT(Inputs!$E$6^2+Inputs!$E$7^2+Inputs!$E$8^2))</f>
        <v>182.18899999999999</v>
      </c>
      <c r="E58" s="3">
        <f>IF(NOT(ISNUMBER($A58)),"",Inputs!$B$15+Geometry!$B$15-B58)</f>
        <v>-24.932661268328502</v>
      </c>
      <c r="F58" s="3">
        <f>IF(NOT(ISNUMBER($A58)),"",Inputs!$C$15+Geometry!$B$16-C58)</f>
        <v>187.76798447238372</v>
      </c>
      <c r="G58" s="3">
        <f>IF(NOT(ISNUMBER($A58)),"",Inputs!$D$15+Geometry!$B$17-D58)</f>
        <v>11.015351937228701</v>
      </c>
      <c r="H58" s="3">
        <f>IF(NOT(ISNUMBER($A58)),"",2*(E58*Geometry!$B$18+F58*Geometry!$B$19+G58*Geometry!$B$20))</f>
        <v>7634.4157994664965</v>
      </c>
      <c r="I58" s="3">
        <f>IF(NOT(ISNUMBER($A58)),"",2*(E58*Geometry!$B$21+F58*Geometry!$B$22+G58*Geometry!$B$23))</f>
        <v>56339.818600635313</v>
      </c>
      <c r="J58" s="3">
        <f>IF(NOT(ISNUMBER($A58)),"",Geometry!$B$24^2-(E58^2+F58^2+G58^2)-(Geometry!$B$18^2+Geometry!$B$19^2+Geometry!$B$20^2))</f>
        <v>5840.0397994665036</v>
      </c>
      <c r="K58" s="3">
        <f t="shared" si="10"/>
        <v>56854.722447230677</v>
      </c>
      <c r="L58" s="3">
        <f t="shared" si="11"/>
        <v>0.10271864056476393</v>
      </c>
      <c r="M58" s="3">
        <f t="shared" si="12"/>
        <v>1.4361101253400581</v>
      </c>
      <c r="N58" s="3">
        <f t="shared" si="13"/>
        <v>1.4678961903910057</v>
      </c>
      <c r="O58" s="3">
        <f>IF(M58="","",MOD(M58+Geometry!$B$47*N58+PI(),2*PI())-PI())</f>
        <v>-3.1786065050947609E-2</v>
      </c>
      <c r="P58" s="3" t="b">
        <f t="shared" si="14"/>
        <v>1</v>
      </c>
      <c r="Q58" s="3">
        <f>IF(P58=FALSE,"",IF((Geometry!$B$28*COS(O58)+Geometry!$B$32*SIN(O58)+Geometry!$B$8*Geometry!$B$30*(1-COS(O58)))&gt;=0,1,-1)*ACOS(MAX(-1,MIN(1,(Geometry!$B$27*COS(O58)+Geometry!$B$31*SIN(O58)+Geometry!$B$7*Geometry!$B$30*(1-COS(O58)))/SQRT((Geometry!$B$27*COS(O58)+Geometry!$B$31*SIN(O58)+Geometry!$B$7*Geometry!$B$30*(1-COS(O58)))^2+(Geometry!$B$28*COS(O58)+Geometry!$B$32*SIN(O58)+Geometry!$B$8*Geometry!$B$30*(1-COS(O58)))^2))))*180/PI())</f>
        <v>-1.7872355783951521</v>
      </c>
      <c r="R58" s="3">
        <f>IF(NOT(ISNUMBER($A58)),"",Inputs!$B$21+$A58*Inputs!$E$6/SQRT(Inputs!$E$6^2+Inputs!$E$7^2+Inputs!$E$8^2))</f>
        <v>919.87300000000005</v>
      </c>
      <c r="S58" s="3">
        <f>IF(NOT(ISNUMBER($A58)),"",Inputs!$C$21+$A58*Inputs!$E$7/SQRT(Inputs!$E$6^2+Inputs!$E$7^2+Inputs!$E$8^2))</f>
        <v>-261.45400000000001</v>
      </c>
      <c r="T58" s="3">
        <f>IF(NOT(ISNUMBER($A58)),"",Inputs!$D$21+$A58*Inputs!$E$8/SQRT(Inputs!$E$6^2+Inputs!$E$7^2+Inputs!$E$8^2))</f>
        <v>182.18899999999999</v>
      </c>
      <c r="U58" s="3">
        <f>IF(NOT(ISNUMBER($A58)),"",Inputs!$B$19+Geometry!$C$15-R58)</f>
        <v>-24.932661268328502</v>
      </c>
      <c r="V58" s="3">
        <f>IF(NOT(ISNUMBER($A58)),"",Inputs!$C$19+Geometry!$C$16-S58)</f>
        <v>-179.76798447238372</v>
      </c>
      <c r="W58" s="3">
        <f>IF(NOT(ISNUMBER($A58)),"",Inputs!$D$19+Geometry!$C$17-T58)</f>
        <v>11.015351937228701</v>
      </c>
      <c r="X58" s="3">
        <f>IF(NOT(ISNUMBER($A58)),"",2*(U58*Geometry!$C$18+V58*Geometry!$C$19+W58*Geometry!$C$20))</f>
        <v>7017.9515510246365</v>
      </c>
      <c r="Y58" s="3">
        <f>IF(NOT(ISNUMBER($A58)),"",2*(U58*Geometry!$C$21+V58*Geometry!$C$22+W58*Geometry!$C$23))</f>
        <v>-54047.959684274501</v>
      </c>
      <c r="Z58" s="3">
        <f>IF(NOT(ISNUMBER($A58)),"",Geometry!$C$24^2-(U58^2+V58^2+W58^2)-(Geometry!$C$18^2+Geometry!$C$19^2+Geometry!$C$20^2))</f>
        <v>8780.3275510246458</v>
      </c>
      <c r="AA58" s="3">
        <f t="shared" si="15"/>
        <v>54501.684285951116</v>
      </c>
      <c r="AB58" s="3">
        <f t="shared" si="16"/>
        <v>0.1611019487940476</v>
      </c>
      <c r="AC58" s="3">
        <f t="shared" si="17"/>
        <v>-1.4416720353313857</v>
      </c>
      <c r="AD58" s="3">
        <f t="shared" si="18"/>
        <v>1.4089892421327184</v>
      </c>
      <c r="AE58" s="3">
        <f>IF(AC58="","",MOD(AC58+Geometry!$C$47*AD58+PI(),2*PI())-PI())</f>
        <v>-3.2682793198667071E-2</v>
      </c>
      <c r="AF58" s="3" t="b">
        <f t="shared" si="19"/>
        <v>1</v>
      </c>
      <c r="AG58" s="3">
        <f>IF(AF58=FALSE,"",IF((Geometry!$C$28*COS(AE58)+Geometry!$C$32*SIN(AE58)+Geometry!$C$8*Geometry!$C$30*(1-COS(AE58)))&gt;=0,1,-1)*ACOS(MAX(-1,MIN(1,(Geometry!$C$27*COS(AE58)+Geometry!$C$31*SIN(AE58)+Geometry!$C$7*Geometry!$C$30*(1-COS(AE58)))/SQRT((Geometry!$C$27*COS(AE58)+Geometry!$C$31*SIN(AE58)+Geometry!$C$7*Geometry!$C$30*(1-COS(AE58)))^2+(Geometry!$C$28*COS(AE58)+Geometry!$C$32*SIN(AE58)+Geometry!$C$8*Geometry!$C$30*(1-COS(AE58)))^2))))*180/PI())</f>
        <v>-1.8384080209412328</v>
      </c>
    </row>
    <row r="59" spans="1:33">
      <c r="A59" s="3">
        <f>IF(Inputs!$E$9+57*Inputs!$E$11&lt;=Inputs!$E$10,Inputs!$E$9+57*Inputs!$E$11,"")</f>
        <v>-3</v>
      </c>
      <c r="B59" s="3">
        <f>IF(NOT(ISNUMBER($A59)),"",Inputs!$B$17+$A59*Inputs!$E$6/SQRT(Inputs!$E$6^2+Inputs!$E$7^2+Inputs!$E$8^2))</f>
        <v>919.87300000000005</v>
      </c>
      <c r="C59" s="3">
        <f>IF(NOT(ISNUMBER($A59)),"",Inputs!$C$17+$A59*Inputs!$E$7/SQRT(Inputs!$E$6^2+Inputs!$E$7^2+Inputs!$E$8^2))</f>
        <v>254.45400000000001</v>
      </c>
      <c r="D59" s="3">
        <f>IF(NOT(ISNUMBER($A59)),"",Inputs!$D$17+$A59*Inputs!$E$8/SQRT(Inputs!$E$6^2+Inputs!$E$7^2+Inputs!$E$8^2))</f>
        <v>182.18899999999999</v>
      </c>
      <c r="E59" s="3">
        <f>IF(NOT(ISNUMBER($A59)),"",Inputs!$B$15+Geometry!$B$15-B59)</f>
        <v>-24.932661268328502</v>
      </c>
      <c r="F59" s="3">
        <f>IF(NOT(ISNUMBER($A59)),"",Inputs!$C$15+Geometry!$B$16-C59)</f>
        <v>186.76798447238372</v>
      </c>
      <c r="G59" s="3">
        <f>IF(NOT(ISNUMBER($A59)),"",Inputs!$D$15+Geometry!$B$17-D59)</f>
        <v>11.015351937228701</v>
      </c>
      <c r="H59" s="3">
        <f>IF(NOT(ISNUMBER($A59)),"",2*(E59*Geometry!$B$18+F59*Geometry!$B$19+G59*Geometry!$B$20))</f>
        <v>7557.3577684112643</v>
      </c>
      <c r="I59" s="3">
        <f>IF(NOT(ISNUMBER($A59)),"",2*(E59*Geometry!$B$21+F59*Geometry!$B$22+G59*Geometry!$B$23))</f>
        <v>56053.33623609021</v>
      </c>
      <c r="J59" s="3">
        <f>IF(NOT(ISNUMBER($A59)),"",Geometry!$B$24^2-(E59^2+F59^2+G59^2)-(Geometry!$B$18^2+Geometry!$B$19^2+Geometry!$B$20^2))</f>
        <v>6214.5757684112759</v>
      </c>
      <c r="K59" s="3">
        <f t="shared" si="10"/>
        <v>56560.499994571735</v>
      </c>
      <c r="L59" s="3">
        <f t="shared" si="11"/>
        <v>0.10987483789937687</v>
      </c>
      <c r="M59" s="3">
        <f t="shared" si="12"/>
        <v>1.4367800538285407</v>
      </c>
      <c r="N59" s="3">
        <f t="shared" si="13"/>
        <v>1.4606992022032452</v>
      </c>
      <c r="O59" s="3">
        <f>IF(M59="","",MOD(M59+Geometry!$B$47*N59+PI(),2*PI())-PI())</f>
        <v>-2.3919148374704768E-2</v>
      </c>
      <c r="P59" s="3" t="b">
        <f t="shared" si="14"/>
        <v>1</v>
      </c>
      <c r="Q59" s="3">
        <f>IF(P59=FALSE,"",IF((Geometry!$B$28*COS(O59)+Geometry!$B$32*SIN(O59)+Geometry!$B$8*Geometry!$B$30*(1-COS(O59)))&gt;=0,1,-1)*ACOS(MAX(-1,MIN(1,(Geometry!$B$27*COS(O59)+Geometry!$B$31*SIN(O59)+Geometry!$B$7*Geometry!$B$30*(1-COS(O59)))/SQRT((Geometry!$B$27*COS(O59)+Geometry!$B$31*SIN(O59)+Geometry!$B$7*Geometry!$B$30*(1-COS(O59)))^2+(Geometry!$B$28*COS(O59)+Geometry!$B$32*SIN(O59)+Geometry!$B$8*Geometry!$B$30*(1-COS(O59)))^2))))*180/PI())</f>
        <v>-1.3449636100919371</v>
      </c>
      <c r="R59" s="3">
        <f>IF(NOT(ISNUMBER($A59)),"",Inputs!$B$21+$A59*Inputs!$E$6/SQRT(Inputs!$E$6^2+Inputs!$E$7^2+Inputs!$E$8^2))</f>
        <v>919.87300000000005</v>
      </c>
      <c r="S59" s="3">
        <f>IF(NOT(ISNUMBER($A59)),"",Inputs!$C$21+$A59*Inputs!$E$7/SQRT(Inputs!$E$6^2+Inputs!$E$7^2+Inputs!$E$8^2))</f>
        <v>-260.45400000000001</v>
      </c>
      <c r="T59" s="3">
        <f>IF(NOT(ISNUMBER($A59)),"",Inputs!$D$21+$A59*Inputs!$E$8/SQRT(Inputs!$E$6^2+Inputs!$E$7^2+Inputs!$E$8^2))</f>
        <v>182.18899999999999</v>
      </c>
      <c r="U59" s="3">
        <f>IF(NOT(ISNUMBER($A59)),"",Inputs!$B$19+Geometry!$C$15-R59)</f>
        <v>-24.932661268328502</v>
      </c>
      <c r="V59" s="3">
        <f>IF(NOT(ISNUMBER($A59)),"",Inputs!$C$19+Geometry!$C$16-S59)</f>
        <v>-180.76798447238372</v>
      </c>
      <c r="W59" s="3">
        <f>IF(NOT(ISNUMBER($A59)),"",Inputs!$D$19+Geometry!$C$17-T59)</f>
        <v>11.015351937228701</v>
      </c>
      <c r="X59" s="3">
        <f>IF(NOT(ISNUMBER($A59)),"",2*(U59*Geometry!$C$18+V59*Geometry!$C$19+W59*Geometry!$C$20))</f>
        <v>7095.0095820798688</v>
      </c>
      <c r="Y59" s="3">
        <f>IF(NOT(ISNUMBER($A59)),"",2*(U59*Geometry!$C$21+V59*Geometry!$C$22+W59*Geometry!$C$23))</f>
        <v>-54334.442048819605</v>
      </c>
      <c r="Z59" s="3">
        <f>IF(NOT(ISNUMBER($A59)),"",Geometry!$C$24^2-(U59^2+V59^2+W59^2)-(Geometry!$C$18^2+Geometry!$C$19^2+Geometry!$C$20^2))</f>
        <v>8419.7915820798808</v>
      </c>
      <c r="AA59" s="3">
        <f t="shared" si="15"/>
        <v>54795.718388632711</v>
      </c>
      <c r="AB59" s="3">
        <f t="shared" si="16"/>
        <v>0.1536578373215845</v>
      </c>
      <c r="AC59" s="3">
        <f t="shared" si="17"/>
        <v>-1.44095067594605</v>
      </c>
      <c r="AD59" s="3">
        <f t="shared" si="18"/>
        <v>1.416527310964431</v>
      </c>
      <c r="AE59" s="3">
        <f>IF(AC59="","",MOD(AC59+Geometry!$C$47*AD59+PI(),2*PI())-PI())</f>
        <v>-2.4423364981618789E-2</v>
      </c>
      <c r="AF59" s="3" t="b">
        <f t="shared" si="19"/>
        <v>1</v>
      </c>
      <c r="AG59" s="3">
        <f>IF(AF59=FALSE,"",IF((Geometry!$C$28*COS(AE59)+Geometry!$C$32*SIN(AE59)+Geometry!$C$8*Geometry!$C$30*(1-COS(AE59)))&gt;=0,1,-1)*ACOS(MAX(-1,MIN(1,(Geometry!$C$27*COS(AE59)+Geometry!$C$31*SIN(AE59)+Geometry!$C$7*Geometry!$C$30*(1-COS(AE59)))/SQRT((Geometry!$C$27*COS(AE59)+Geometry!$C$31*SIN(AE59)+Geometry!$C$7*Geometry!$C$30*(1-COS(AE59)))^2+(Geometry!$C$28*COS(AE59)+Geometry!$C$32*SIN(AE59)+Geometry!$C$8*Geometry!$C$30*(1-COS(AE59)))^2))))*180/PI())</f>
        <v>-1.3737367905748343</v>
      </c>
    </row>
    <row r="60" spans="1:33">
      <c r="A60" s="3">
        <f>IF(Inputs!$E$9+58*Inputs!$E$11&lt;=Inputs!$E$10,Inputs!$E$9+58*Inputs!$E$11,"")</f>
        <v>-2</v>
      </c>
      <c r="B60" s="3">
        <f>IF(NOT(ISNUMBER($A60)),"",Inputs!$B$17+$A60*Inputs!$E$6/SQRT(Inputs!$E$6^2+Inputs!$E$7^2+Inputs!$E$8^2))</f>
        <v>919.87300000000005</v>
      </c>
      <c r="C60" s="3">
        <f>IF(NOT(ISNUMBER($A60)),"",Inputs!$C$17+$A60*Inputs!$E$7/SQRT(Inputs!$E$6^2+Inputs!$E$7^2+Inputs!$E$8^2))</f>
        <v>255.45400000000001</v>
      </c>
      <c r="D60" s="3">
        <f>IF(NOT(ISNUMBER($A60)),"",Inputs!$D$17+$A60*Inputs!$E$8/SQRT(Inputs!$E$6^2+Inputs!$E$7^2+Inputs!$E$8^2))</f>
        <v>182.18899999999999</v>
      </c>
      <c r="E60" s="3">
        <f>IF(NOT(ISNUMBER($A60)),"",Inputs!$B$15+Geometry!$B$15-B60)</f>
        <v>-24.932661268328502</v>
      </c>
      <c r="F60" s="3">
        <f>IF(NOT(ISNUMBER($A60)),"",Inputs!$C$15+Geometry!$B$16-C60)</f>
        <v>185.76798447238372</v>
      </c>
      <c r="G60" s="3">
        <f>IF(NOT(ISNUMBER($A60)),"",Inputs!$D$15+Geometry!$B$17-D60)</f>
        <v>11.015351937228701</v>
      </c>
      <c r="H60" s="3">
        <f>IF(NOT(ISNUMBER($A60)),"",2*(E60*Geometry!$B$18+F60*Geometry!$B$19+G60*Geometry!$B$20))</f>
        <v>7480.299737356032</v>
      </c>
      <c r="I60" s="3">
        <f>IF(NOT(ISNUMBER($A60)),"",2*(E60*Geometry!$B$21+F60*Geometry!$B$22+G60*Geometry!$B$23))</f>
        <v>55766.853871545114</v>
      </c>
      <c r="J60" s="3">
        <f>IF(NOT(ISNUMBER($A60)),"",Geometry!$B$24^2-(E60^2+F60^2+G60^2)-(Geometry!$B$18^2+Geometry!$B$19^2+Geometry!$B$20^2))</f>
        <v>6587.111737356041</v>
      </c>
      <c r="K60" s="3">
        <f t="shared" si="10"/>
        <v>56266.303191972322</v>
      </c>
      <c r="L60" s="3">
        <f t="shared" si="11"/>
        <v>0.11707027765591402</v>
      </c>
      <c r="M60" s="3">
        <f t="shared" si="12"/>
        <v>1.4374569882665846</v>
      </c>
      <c r="N60" s="3">
        <f t="shared" si="13"/>
        <v>1.453456969472535</v>
      </c>
      <c r="O60" s="3">
        <f>IF(M60="","",MOD(M60+Geometry!$B$47*N60+PI(),2*PI())-PI())</f>
        <v>-1.5999981205950142E-2</v>
      </c>
      <c r="P60" s="3" t="b">
        <f t="shared" si="14"/>
        <v>1</v>
      </c>
      <c r="Q60" s="3">
        <f>IF(P60=FALSE,"",IF((Geometry!$B$28*COS(O60)+Geometry!$B$32*SIN(O60)+Geometry!$B$8*Geometry!$B$30*(1-COS(O60)))&gt;=0,1,-1)*ACOS(MAX(-1,MIN(1,(Geometry!$B$27*COS(O60)+Geometry!$B$31*SIN(O60)+Geometry!$B$7*Geometry!$B$30*(1-COS(O60)))/SQRT((Geometry!$B$27*COS(O60)+Geometry!$B$31*SIN(O60)+Geometry!$B$7*Geometry!$B$30*(1-COS(O60)))^2+(Geometry!$B$28*COS(O60)+Geometry!$B$32*SIN(O60)+Geometry!$B$8*Geometry!$B$30*(1-COS(O60)))^2))))*180/PI())</f>
        <v>-0.89971457251734477</v>
      </c>
      <c r="R60" s="3">
        <f>IF(NOT(ISNUMBER($A60)),"",Inputs!$B$21+$A60*Inputs!$E$6/SQRT(Inputs!$E$6^2+Inputs!$E$7^2+Inputs!$E$8^2))</f>
        <v>919.87300000000005</v>
      </c>
      <c r="S60" s="3">
        <f>IF(NOT(ISNUMBER($A60)),"",Inputs!$C$21+$A60*Inputs!$E$7/SQRT(Inputs!$E$6^2+Inputs!$E$7^2+Inputs!$E$8^2))</f>
        <v>-259.45400000000001</v>
      </c>
      <c r="T60" s="3">
        <f>IF(NOT(ISNUMBER($A60)),"",Inputs!$D$21+$A60*Inputs!$E$8/SQRT(Inputs!$E$6^2+Inputs!$E$7^2+Inputs!$E$8^2))</f>
        <v>182.18899999999999</v>
      </c>
      <c r="U60" s="3">
        <f>IF(NOT(ISNUMBER($A60)),"",Inputs!$B$19+Geometry!$C$15-R60)</f>
        <v>-24.932661268328502</v>
      </c>
      <c r="V60" s="3">
        <f>IF(NOT(ISNUMBER($A60)),"",Inputs!$C$19+Geometry!$C$16-S60)</f>
        <v>-181.76798447238372</v>
      </c>
      <c r="W60" s="3">
        <f>IF(NOT(ISNUMBER($A60)),"",Inputs!$D$19+Geometry!$C$17-T60)</f>
        <v>11.015351937228701</v>
      </c>
      <c r="X60" s="3">
        <f>IF(NOT(ISNUMBER($A60)),"",2*(U60*Geometry!$C$18+V60*Geometry!$C$19+W60*Geometry!$C$20))</f>
        <v>7172.0676131351011</v>
      </c>
      <c r="Y60" s="3">
        <f>IF(NOT(ISNUMBER($A60)),"",2*(U60*Geometry!$C$21+V60*Geometry!$C$22+W60*Geometry!$C$23))</f>
        <v>-54620.924413364701</v>
      </c>
      <c r="Z60" s="3">
        <f>IF(NOT(ISNUMBER($A60)),"",Geometry!$C$24^2-(U60^2+V60^2+W60^2)-(Geometry!$C$18^2+Geometry!$C$19^2+Geometry!$C$20^2))</f>
        <v>8057.2556131351084</v>
      </c>
      <c r="AA60" s="3">
        <f t="shared" si="15"/>
        <v>55089.780700397438</v>
      </c>
      <c r="AB60" s="3">
        <f t="shared" si="16"/>
        <v>0.14625681044101488</v>
      </c>
      <c r="AC60" s="3">
        <f t="shared" si="17"/>
        <v>-1.440237017243764</v>
      </c>
      <c r="AD60" s="3">
        <f t="shared" si="18"/>
        <v>1.4240130009790855</v>
      </c>
      <c r="AE60" s="3">
        <f>IF(AC60="","",MOD(AC60+Geometry!$C$47*AD60+PI(),2*PI())-PI())</f>
        <v>-1.6224016264678731E-2</v>
      </c>
      <c r="AF60" s="3" t="b">
        <f t="shared" si="19"/>
        <v>1</v>
      </c>
      <c r="AG60" s="3">
        <f>IF(AF60=FALSE,"",IF((Geometry!$C$28*COS(AE60)+Geometry!$C$32*SIN(AE60)+Geometry!$C$8*Geometry!$C$30*(1-COS(AE60)))&gt;=0,1,-1)*ACOS(MAX(-1,MIN(1,(Geometry!$C$27*COS(AE60)+Geometry!$C$31*SIN(AE60)+Geometry!$C$7*Geometry!$C$30*(1-COS(AE60)))/SQRT((Geometry!$C$27*COS(AE60)+Geometry!$C$31*SIN(AE60)+Geometry!$C$7*Geometry!$C$30*(1-COS(AE60)))^2+(Geometry!$C$28*COS(AE60)+Geometry!$C$32*SIN(AE60)+Geometry!$C$8*Geometry!$C$30*(1-COS(AE60)))^2))))*180/PI())</f>
        <v>-0.91249906257997337</v>
      </c>
    </row>
    <row r="61" spans="1:33">
      <c r="A61" s="3">
        <f>IF(Inputs!$E$9+59*Inputs!$E$11&lt;=Inputs!$E$10,Inputs!$E$9+59*Inputs!$E$11,"")</f>
        <v>-1</v>
      </c>
      <c r="B61" s="3">
        <f>IF(NOT(ISNUMBER($A61)),"",Inputs!$B$17+$A61*Inputs!$E$6/SQRT(Inputs!$E$6^2+Inputs!$E$7^2+Inputs!$E$8^2))</f>
        <v>919.87300000000005</v>
      </c>
      <c r="C61" s="3">
        <f>IF(NOT(ISNUMBER($A61)),"",Inputs!$C$17+$A61*Inputs!$E$7/SQRT(Inputs!$E$6^2+Inputs!$E$7^2+Inputs!$E$8^2))</f>
        <v>256.45400000000001</v>
      </c>
      <c r="D61" s="3">
        <f>IF(NOT(ISNUMBER($A61)),"",Inputs!$D$17+$A61*Inputs!$E$8/SQRT(Inputs!$E$6^2+Inputs!$E$7^2+Inputs!$E$8^2))</f>
        <v>182.18899999999999</v>
      </c>
      <c r="E61" s="3">
        <f>IF(NOT(ISNUMBER($A61)),"",Inputs!$B$15+Geometry!$B$15-B61)</f>
        <v>-24.932661268328502</v>
      </c>
      <c r="F61" s="3">
        <f>IF(NOT(ISNUMBER($A61)),"",Inputs!$C$15+Geometry!$B$16-C61)</f>
        <v>184.76798447238372</v>
      </c>
      <c r="G61" s="3">
        <f>IF(NOT(ISNUMBER($A61)),"",Inputs!$D$15+Geometry!$B$17-D61)</f>
        <v>11.015351937228701</v>
      </c>
      <c r="H61" s="3">
        <f>IF(NOT(ISNUMBER($A61)),"",2*(E61*Geometry!$B$18+F61*Geometry!$B$19+G61*Geometry!$B$20))</f>
        <v>7403.2417063007979</v>
      </c>
      <c r="I61" s="3">
        <f>IF(NOT(ISNUMBER($A61)),"",2*(E61*Geometry!$B$21+F61*Geometry!$B$22+G61*Geometry!$B$23))</f>
        <v>55480.371507000011</v>
      </c>
      <c r="J61" s="3">
        <f>IF(NOT(ISNUMBER($A61)),"",Geometry!$B$24^2-(E61^2+F61^2+G61^2)-(Geometry!$B$18^2+Geometry!$B$19^2+Geometry!$B$20^2))</f>
        <v>6957.647706300806</v>
      </c>
      <c r="K61" s="3">
        <f t="shared" si="10"/>
        <v>55972.132443892559</v>
      </c>
      <c r="L61" s="3">
        <f t="shared" si="11"/>
        <v>0.12430556783369427</v>
      </c>
      <c r="M61" s="3">
        <f t="shared" si="12"/>
        <v>1.4381410385013955</v>
      </c>
      <c r="N61" s="3">
        <f t="shared" si="13"/>
        <v>1.4461683866605586</v>
      </c>
      <c r="O61" s="3">
        <f>IF(M61="","",MOD(M61+Geometry!$B$47*N61+PI(),2*PI())-PI())</f>
        <v>-8.0273481591630613E-3</v>
      </c>
      <c r="P61" s="3" t="b">
        <f t="shared" si="14"/>
        <v>1</v>
      </c>
      <c r="Q61" s="3">
        <f>IF(P61=FALSE,"",IF((Geometry!$B$28*COS(O61)+Geometry!$B$32*SIN(O61)+Geometry!$B$8*Geometry!$B$30*(1-COS(O61)))&gt;=0,1,-1)*ACOS(MAX(-1,MIN(1,(Geometry!$B$27*COS(O61)+Geometry!$B$31*SIN(O61)+Geometry!$B$7*Geometry!$B$30*(1-COS(O61)))/SQRT((Geometry!$B$27*COS(O61)+Geometry!$B$31*SIN(O61)+Geometry!$B$7*Geometry!$B$30*(1-COS(O61)))^2+(Geometry!$B$28*COS(O61)+Geometry!$B$32*SIN(O61)+Geometry!$B$8*Geometry!$B$30*(1-COS(O61)))^2))))*180/PI())</f>
        <v>-0.45141763950069763</v>
      </c>
      <c r="R61" s="3">
        <f>IF(NOT(ISNUMBER($A61)),"",Inputs!$B$21+$A61*Inputs!$E$6/SQRT(Inputs!$E$6^2+Inputs!$E$7^2+Inputs!$E$8^2))</f>
        <v>919.87300000000005</v>
      </c>
      <c r="S61" s="3">
        <f>IF(NOT(ISNUMBER($A61)),"",Inputs!$C$21+$A61*Inputs!$E$7/SQRT(Inputs!$E$6^2+Inputs!$E$7^2+Inputs!$E$8^2))</f>
        <v>-258.45400000000001</v>
      </c>
      <c r="T61" s="3">
        <f>IF(NOT(ISNUMBER($A61)),"",Inputs!$D$21+$A61*Inputs!$E$8/SQRT(Inputs!$E$6^2+Inputs!$E$7^2+Inputs!$E$8^2))</f>
        <v>182.18899999999999</v>
      </c>
      <c r="U61" s="3">
        <f>IF(NOT(ISNUMBER($A61)),"",Inputs!$B$19+Geometry!$C$15-R61)</f>
        <v>-24.932661268328502</v>
      </c>
      <c r="V61" s="3">
        <f>IF(NOT(ISNUMBER($A61)),"",Inputs!$C$19+Geometry!$C$16-S61)</f>
        <v>-182.76798447238372</v>
      </c>
      <c r="W61" s="3">
        <f>IF(NOT(ISNUMBER($A61)),"",Inputs!$D$19+Geometry!$C$17-T61)</f>
        <v>11.015351937228701</v>
      </c>
      <c r="X61" s="3">
        <f>IF(NOT(ISNUMBER($A61)),"",2*(U61*Geometry!$C$18+V61*Geometry!$C$19+W61*Geometry!$C$20))</f>
        <v>7249.1256441903333</v>
      </c>
      <c r="Y61" s="3">
        <f>IF(NOT(ISNUMBER($A61)),"",2*(U61*Geometry!$C$21+V61*Geometry!$C$22+W61*Geometry!$C$23))</f>
        <v>-54907.406777909804</v>
      </c>
      <c r="Z61" s="3">
        <f>IF(NOT(ISNUMBER($A61)),"",Geometry!$C$24^2-(U61^2+V61^2+W61^2)-(Geometry!$C$18^2+Geometry!$C$19^2+Geometry!$C$20^2))</f>
        <v>7692.7196441903434</v>
      </c>
      <c r="AA61" s="3">
        <f t="shared" si="15"/>
        <v>55383.870771914393</v>
      </c>
      <c r="AB61" s="3">
        <f t="shared" si="16"/>
        <v>0.13889819431131895</v>
      </c>
      <c r="AC61" s="3">
        <f t="shared" si="17"/>
        <v>-1.4395309372847271</v>
      </c>
      <c r="AD61" s="3">
        <f t="shared" si="18"/>
        <v>1.4314475895374135</v>
      </c>
      <c r="AE61" s="3">
        <f>IF(AC61="","",MOD(AC61+Geometry!$C$47*AD61+PI(),2*PI())-PI())</f>
        <v>-8.0833477473136739E-3</v>
      </c>
      <c r="AF61" s="3" t="b">
        <f t="shared" si="19"/>
        <v>1</v>
      </c>
      <c r="AG61" s="3">
        <f>IF(AF61=FALSE,"",IF((Geometry!$C$28*COS(AE61)+Geometry!$C$32*SIN(AE61)+Geometry!$C$8*Geometry!$C$30*(1-COS(AE61)))&gt;=0,1,-1)*ACOS(MAX(-1,MIN(1,(Geometry!$C$27*COS(AE61)+Geometry!$C$31*SIN(AE61)+Geometry!$C$7*Geometry!$C$30*(1-COS(AE61)))/SQRT((Geometry!$C$27*COS(AE61)+Geometry!$C$31*SIN(AE61)+Geometry!$C$7*Geometry!$C$30*(1-COS(AE61)))^2+(Geometry!$C$28*COS(AE61)+Geometry!$C$32*SIN(AE61)+Geometry!$C$8*Geometry!$C$30*(1-COS(AE61)))^2))))*180/PI())</f>
        <v>-0.45461322379416419</v>
      </c>
    </row>
    <row r="62" spans="1:33">
      <c r="A62" s="3">
        <f>IF(Inputs!$E$9+60*Inputs!$E$11&lt;=Inputs!$E$10,Inputs!$E$9+60*Inputs!$E$11,"")</f>
        <v>0</v>
      </c>
      <c r="B62" s="3">
        <f>IF(NOT(ISNUMBER($A62)),"",Inputs!$B$17+$A62*Inputs!$E$6/SQRT(Inputs!$E$6^2+Inputs!$E$7^2+Inputs!$E$8^2))</f>
        <v>919.87300000000005</v>
      </c>
      <c r="C62" s="3">
        <f>IF(NOT(ISNUMBER($A62)),"",Inputs!$C$17+$A62*Inputs!$E$7/SQRT(Inputs!$E$6^2+Inputs!$E$7^2+Inputs!$E$8^2))</f>
        <v>257.45400000000001</v>
      </c>
      <c r="D62" s="3">
        <f>IF(NOT(ISNUMBER($A62)),"",Inputs!$D$17+$A62*Inputs!$E$8/SQRT(Inputs!$E$6^2+Inputs!$E$7^2+Inputs!$E$8^2))</f>
        <v>182.18899999999999</v>
      </c>
      <c r="E62" s="3">
        <f>IF(NOT(ISNUMBER($A62)),"",Inputs!$B$15+Geometry!$B$15-B62)</f>
        <v>-24.932661268328502</v>
      </c>
      <c r="F62" s="3">
        <f>IF(NOT(ISNUMBER($A62)),"",Inputs!$C$15+Geometry!$B$16-C62)</f>
        <v>183.76798447238372</v>
      </c>
      <c r="G62" s="3">
        <f>IF(NOT(ISNUMBER($A62)),"",Inputs!$D$15+Geometry!$B$17-D62)</f>
        <v>11.015351937228701</v>
      </c>
      <c r="H62" s="3">
        <f>IF(NOT(ISNUMBER($A62)),"",2*(E62*Geometry!$B$18+F62*Geometry!$B$19+G62*Geometry!$B$20))</f>
        <v>7326.1836752455656</v>
      </c>
      <c r="I62" s="3">
        <f>IF(NOT(ISNUMBER($A62)),"",2*(E62*Geometry!$B$21+F62*Geometry!$B$22+G62*Geometry!$B$23))</f>
        <v>55193.889142454907</v>
      </c>
      <c r="J62" s="3">
        <f>IF(NOT(ISNUMBER($A62)),"",Geometry!$B$24^2-(E62^2+F62^2+G62^2)-(Geometry!$B$18^2+Geometry!$B$19^2+Geometry!$B$20^2))</f>
        <v>7326.1836752455783</v>
      </c>
      <c r="K62" s="3">
        <f t="shared" si="10"/>
        <v>55677.988163304144</v>
      </c>
      <c r="L62" s="3">
        <f t="shared" si="11"/>
        <v>0.13158132894022323</v>
      </c>
      <c r="M62" s="3">
        <f t="shared" si="12"/>
        <v>1.43883231667512</v>
      </c>
      <c r="N62" s="3">
        <f t="shared" si="13"/>
        <v>1.4388323166751196</v>
      </c>
      <c r="O62" s="3">
        <f>IF(M62="","",MOD(M62+Geometry!$B$47*N62+PI(),2*PI())-PI())</f>
        <v>4.4408920985006262E-16</v>
      </c>
      <c r="P62" s="3" t="b">
        <f t="shared" si="14"/>
        <v>1</v>
      </c>
      <c r="Q62" s="3">
        <f>IF(P62=FALSE,"",IF((Geometry!$B$28*COS(O62)+Geometry!$B$32*SIN(O62)+Geometry!$B$8*Geometry!$B$30*(1-COS(O62)))&gt;=0,1,-1)*ACOS(MAX(-1,MIN(1,(Geometry!$B$27*COS(O62)+Geometry!$B$31*SIN(O62)+Geometry!$B$7*Geometry!$B$30*(1-COS(O62)))/SQRT((Geometry!$B$27*COS(O62)+Geometry!$B$31*SIN(O62)+Geometry!$B$7*Geometry!$B$30*(1-COS(O62)))^2+(Geometry!$B$28*COS(O62)+Geometry!$B$32*SIN(O62)+Geometry!$B$8*Geometry!$B$30*(1-COS(O62)))^2))))*180/PI())</f>
        <v>0</v>
      </c>
      <c r="R62" s="3">
        <f>IF(NOT(ISNUMBER($A62)),"",Inputs!$B$21+$A62*Inputs!$E$6/SQRT(Inputs!$E$6^2+Inputs!$E$7^2+Inputs!$E$8^2))</f>
        <v>919.87300000000005</v>
      </c>
      <c r="S62" s="3">
        <f>IF(NOT(ISNUMBER($A62)),"",Inputs!$C$21+$A62*Inputs!$E$7/SQRT(Inputs!$E$6^2+Inputs!$E$7^2+Inputs!$E$8^2))</f>
        <v>-257.45400000000001</v>
      </c>
      <c r="T62" s="3">
        <f>IF(NOT(ISNUMBER($A62)),"",Inputs!$D$21+$A62*Inputs!$E$8/SQRT(Inputs!$E$6^2+Inputs!$E$7^2+Inputs!$E$8^2))</f>
        <v>182.18899999999999</v>
      </c>
      <c r="U62" s="3">
        <f>IF(NOT(ISNUMBER($A62)),"",Inputs!$B$19+Geometry!$C$15-R62)</f>
        <v>-24.932661268328502</v>
      </c>
      <c r="V62" s="3">
        <f>IF(NOT(ISNUMBER($A62)),"",Inputs!$C$19+Geometry!$C$16-S62)</f>
        <v>-183.76798447238372</v>
      </c>
      <c r="W62" s="3">
        <f>IF(NOT(ISNUMBER($A62)),"",Inputs!$D$19+Geometry!$C$17-T62)</f>
        <v>11.015351937228701</v>
      </c>
      <c r="X62" s="3">
        <f>IF(NOT(ISNUMBER($A62)),"",2*(U62*Geometry!$C$18+V62*Geometry!$C$19+W62*Geometry!$C$20))</f>
        <v>7326.1836752455656</v>
      </c>
      <c r="Y62" s="3">
        <f>IF(NOT(ISNUMBER($A62)),"",2*(U62*Geometry!$C$21+V62*Geometry!$C$22+W62*Geometry!$C$23))</f>
        <v>-55193.889142454907</v>
      </c>
      <c r="Z62" s="3">
        <f>IF(NOT(ISNUMBER($A62)),"",Geometry!$C$24^2-(U62^2+V62^2+W62^2)-(Geometry!$C$18^2+Geometry!$C$19^2+Geometry!$C$20^2))</f>
        <v>7326.1836752455783</v>
      </c>
      <c r="AA62" s="3">
        <f t="shared" si="15"/>
        <v>55677.988163304144</v>
      </c>
      <c r="AB62" s="3">
        <f t="shared" si="16"/>
        <v>0.13158132894022323</v>
      </c>
      <c r="AC62" s="3">
        <f t="shared" si="17"/>
        <v>-1.43883231667512</v>
      </c>
      <c r="AD62" s="3">
        <f t="shared" si="18"/>
        <v>1.4388323166751196</v>
      </c>
      <c r="AE62" s="3">
        <f>IF(AC62="","",MOD(AC62+Geometry!$C$47*AD62+PI(),2*PI())-PI())</f>
        <v>-4.4408920985006262E-16</v>
      </c>
      <c r="AF62" s="3" t="b">
        <f t="shared" si="19"/>
        <v>1</v>
      </c>
      <c r="AG62" s="3">
        <f>IF(AF62=FALSE,"",IF((Geometry!$C$28*COS(AE62)+Geometry!$C$32*SIN(AE62)+Geometry!$C$8*Geometry!$C$30*(1-COS(AE62)))&gt;=0,1,-1)*ACOS(MAX(-1,MIN(1,(Geometry!$C$27*COS(AE62)+Geometry!$C$31*SIN(AE62)+Geometry!$C$7*Geometry!$C$30*(1-COS(AE62)))/SQRT((Geometry!$C$27*COS(AE62)+Geometry!$C$31*SIN(AE62)+Geometry!$C$7*Geometry!$C$30*(1-COS(AE62)))^2+(Geometry!$C$28*COS(AE62)+Geometry!$C$32*SIN(AE62)+Geometry!$C$8*Geometry!$C$30*(1-COS(AE62)))^2))))*180/PI())</f>
        <v>0</v>
      </c>
    </row>
    <row r="63" spans="1:33">
      <c r="A63" s="3">
        <f>IF(Inputs!$E$9+61*Inputs!$E$11&lt;=Inputs!$E$10,Inputs!$E$9+61*Inputs!$E$11,"")</f>
        <v>1</v>
      </c>
      <c r="B63" s="3">
        <f>IF(NOT(ISNUMBER($A63)),"",Inputs!$B$17+$A63*Inputs!$E$6/SQRT(Inputs!$E$6^2+Inputs!$E$7^2+Inputs!$E$8^2))</f>
        <v>919.87300000000005</v>
      </c>
      <c r="C63" s="3">
        <f>IF(NOT(ISNUMBER($A63)),"",Inputs!$C$17+$A63*Inputs!$E$7/SQRT(Inputs!$E$6^2+Inputs!$E$7^2+Inputs!$E$8^2))</f>
        <v>258.45400000000001</v>
      </c>
      <c r="D63" s="3">
        <f>IF(NOT(ISNUMBER($A63)),"",Inputs!$D$17+$A63*Inputs!$E$8/SQRT(Inputs!$E$6^2+Inputs!$E$7^2+Inputs!$E$8^2))</f>
        <v>182.18899999999999</v>
      </c>
      <c r="E63" s="3">
        <f>IF(NOT(ISNUMBER($A63)),"",Inputs!$B$15+Geometry!$B$15-B63)</f>
        <v>-24.932661268328502</v>
      </c>
      <c r="F63" s="3">
        <f>IF(NOT(ISNUMBER($A63)),"",Inputs!$C$15+Geometry!$B$16-C63)</f>
        <v>182.76798447238372</v>
      </c>
      <c r="G63" s="3">
        <f>IF(NOT(ISNUMBER($A63)),"",Inputs!$D$15+Geometry!$B$17-D63)</f>
        <v>11.015351937228701</v>
      </c>
      <c r="H63" s="3">
        <f>IF(NOT(ISNUMBER($A63)),"",2*(E63*Geometry!$B$18+F63*Geometry!$B$19+G63*Geometry!$B$20))</f>
        <v>7249.1256441903333</v>
      </c>
      <c r="I63" s="3">
        <f>IF(NOT(ISNUMBER($A63)),"",2*(E63*Geometry!$B$21+F63*Geometry!$B$22+G63*Geometry!$B$23))</f>
        <v>54907.406777909804</v>
      </c>
      <c r="J63" s="3">
        <f>IF(NOT(ISNUMBER($A63)),"",Geometry!$B$24^2-(E63^2+F63^2+G63^2)-(Geometry!$B$18^2+Geometry!$B$19^2+Geometry!$B$20^2))</f>
        <v>7692.7196441903434</v>
      </c>
      <c r="K63" s="3">
        <f t="shared" si="10"/>
        <v>55383.870771914393</v>
      </c>
      <c r="L63" s="3">
        <f t="shared" si="11"/>
        <v>0.13889819431131895</v>
      </c>
      <c r="M63" s="3">
        <f t="shared" si="12"/>
        <v>1.4395309372847271</v>
      </c>
      <c r="N63" s="3">
        <f t="shared" si="13"/>
        <v>1.4314475895374135</v>
      </c>
      <c r="O63" s="3">
        <f>IF(M63="","",MOD(M63+Geometry!$B$47*N63+PI(),2*PI())-PI())</f>
        <v>8.0833477473136739E-3</v>
      </c>
      <c r="P63" s="3" t="b">
        <f t="shared" si="14"/>
        <v>1</v>
      </c>
      <c r="Q63" s="3">
        <f>IF(P63=FALSE,"",IF((Geometry!$B$28*COS(O63)+Geometry!$B$32*SIN(O63)+Geometry!$B$8*Geometry!$B$30*(1-COS(O63)))&gt;=0,1,-1)*ACOS(MAX(-1,MIN(1,(Geometry!$B$27*COS(O63)+Geometry!$B$31*SIN(O63)+Geometry!$B$7*Geometry!$B$30*(1-COS(O63)))/SQRT((Geometry!$B$27*COS(O63)+Geometry!$B$31*SIN(O63)+Geometry!$B$7*Geometry!$B$30*(1-COS(O63)))^2+(Geometry!$B$28*COS(O63)+Geometry!$B$32*SIN(O63)+Geometry!$B$8*Geometry!$B$30*(1-COS(O63)))^2))))*180/PI())</f>
        <v>0.45461322379416419</v>
      </c>
      <c r="R63" s="3">
        <f>IF(NOT(ISNUMBER($A63)),"",Inputs!$B$21+$A63*Inputs!$E$6/SQRT(Inputs!$E$6^2+Inputs!$E$7^2+Inputs!$E$8^2))</f>
        <v>919.87300000000005</v>
      </c>
      <c r="S63" s="3">
        <f>IF(NOT(ISNUMBER($A63)),"",Inputs!$C$21+$A63*Inputs!$E$7/SQRT(Inputs!$E$6^2+Inputs!$E$7^2+Inputs!$E$8^2))</f>
        <v>-256.45400000000001</v>
      </c>
      <c r="T63" s="3">
        <f>IF(NOT(ISNUMBER($A63)),"",Inputs!$D$21+$A63*Inputs!$E$8/SQRT(Inputs!$E$6^2+Inputs!$E$7^2+Inputs!$E$8^2))</f>
        <v>182.18899999999999</v>
      </c>
      <c r="U63" s="3">
        <f>IF(NOT(ISNUMBER($A63)),"",Inputs!$B$19+Geometry!$C$15-R63)</f>
        <v>-24.932661268328502</v>
      </c>
      <c r="V63" s="3">
        <f>IF(NOT(ISNUMBER($A63)),"",Inputs!$C$19+Geometry!$C$16-S63)</f>
        <v>-184.76798447238372</v>
      </c>
      <c r="W63" s="3">
        <f>IF(NOT(ISNUMBER($A63)),"",Inputs!$D$19+Geometry!$C$17-T63)</f>
        <v>11.015351937228701</v>
      </c>
      <c r="X63" s="3">
        <f>IF(NOT(ISNUMBER($A63)),"",2*(U63*Geometry!$C$18+V63*Geometry!$C$19+W63*Geometry!$C$20))</f>
        <v>7403.2417063007979</v>
      </c>
      <c r="Y63" s="3">
        <f>IF(NOT(ISNUMBER($A63)),"",2*(U63*Geometry!$C$21+V63*Geometry!$C$22+W63*Geometry!$C$23))</f>
        <v>-55480.371507000011</v>
      </c>
      <c r="Z63" s="3">
        <f>IF(NOT(ISNUMBER($A63)),"",Geometry!$C$24^2-(U63^2+V63^2+W63^2)-(Geometry!$C$18^2+Geometry!$C$19^2+Geometry!$C$20^2))</f>
        <v>6957.647706300806</v>
      </c>
      <c r="AA63" s="3">
        <f t="shared" si="15"/>
        <v>55972.132443892559</v>
      </c>
      <c r="AB63" s="3">
        <f t="shared" si="16"/>
        <v>0.12430556783369427</v>
      </c>
      <c r="AC63" s="3">
        <f t="shared" si="17"/>
        <v>-1.4381410385013955</v>
      </c>
      <c r="AD63" s="3">
        <f t="shared" si="18"/>
        <v>1.4461683866605586</v>
      </c>
      <c r="AE63" s="3">
        <f>IF(AC63="","",MOD(AC63+Geometry!$C$47*AD63+PI(),2*PI())-PI())</f>
        <v>8.0273481591630613E-3</v>
      </c>
      <c r="AF63" s="3" t="b">
        <f t="shared" si="19"/>
        <v>1</v>
      </c>
      <c r="AG63" s="3">
        <f>IF(AF63=FALSE,"",IF((Geometry!$C$28*COS(AE63)+Geometry!$C$32*SIN(AE63)+Geometry!$C$8*Geometry!$C$30*(1-COS(AE63)))&gt;=0,1,-1)*ACOS(MAX(-1,MIN(1,(Geometry!$C$27*COS(AE63)+Geometry!$C$31*SIN(AE63)+Geometry!$C$7*Geometry!$C$30*(1-COS(AE63)))/SQRT((Geometry!$C$27*COS(AE63)+Geometry!$C$31*SIN(AE63)+Geometry!$C$7*Geometry!$C$30*(1-COS(AE63)))^2+(Geometry!$C$28*COS(AE63)+Geometry!$C$32*SIN(AE63)+Geometry!$C$8*Geometry!$C$30*(1-COS(AE63)))^2))))*180/PI())</f>
        <v>0.45141763950069763</v>
      </c>
    </row>
    <row r="64" spans="1:33">
      <c r="A64" s="3">
        <f>IF(Inputs!$E$9+62*Inputs!$E$11&lt;=Inputs!$E$10,Inputs!$E$9+62*Inputs!$E$11,"")</f>
        <v>2</v>
      </c>
      <c r="B64" s="3">
        <f>IF(NOT(ISNUMBER($A64)),"",Inputs!$B$17+$A64*Inputs!$E$6/SQRT(Inputs!$E$6^2+Inputs!$E$7^2+Inputs!$E$8^2))</f>
        <v>919.87300000000005</v>
      </c>
      <c r="C64" s="3">
        <f>IF(NOT(ISNUMBER($A64)),"",Inputs!$C$17+$A64*Inputs!$E$7/SQRT(Inputs!$E$6^2+Inputs!$E$7^2+Inputs!$E$8^2))</f>
        <v>259.45400000000001</v>
      </c>
      <c r="D64" s="3">
        <f>IF(NOT(ISNUMBER($A64)),"",Inputs!$D$17+$A64*Inputs!$E$8/SQRT(Inputs!$E$6^2+Inputs!$E$7^2+Inputs!$E$8^2))</f>
        <v>182.18899999999999</v>
      </c>
      <c r="E64" s="3">
        <f>IF(NOT(ISNUMBER($A64)),"",Inputs!$B$15+Geometry!$B$15-B64)</f>
        <v>-24.932661268328502</v>
      </c>
      <c r="F64" s="3">
        <f>IF(NOT(ISNUMBER($A64)),"",Inputs!$C$15+Geometry!$B$16-C64)</f>
        <v>181.76798447238372</v>
      </c>
      <c r="G64" s="3">
        <f>IF(NOT(ISNUMBER($A64)),"",Inputs!$D$15+Geometry!$B$17-D64)</f>
        <v>11.015351937228701</v>
      </c>
      <c r="H64" s="3">
        <f>IF(NOT(ISNUMBER($A64)),"",2*(E64*Geometry!$B$18+F64*Geometry!$B$19+G64*Geometry!$B$20))</f>
        <v>7172.0676131351011</v>
      </c>
      <c r="I64" s="3">
        <f>IF(NOT(ISNUMBER($A64)),"",2*(E64*Geometry!$B$21+F64*Geometry!$B$22+G64*Geometry!$B$23))</f>
        <v>54620.924413364701</v>
      </c>
      <c r="J64" s="3">
        <f>IF(NOT(ISNUMBER($A64)),"",Geometry!$B$24^2-(E64^2+F64^2+G64^2)-(Geometry!$B$18^2+Geometry!$B$19^2+Geometry!$B$20^2))</f>
        <v>8057.2556131351084</v>
      </c>
      <c r="K64" s="3">
        <f t="shared" si="10"/>
        <v>55089.780700397438</v>
      </c>
      <c r="L64" s="3">
        <f t="shared" si="11"/>
        <v>0.14625681044101488</v>
      </c>
      <c r="M64" s="3">
        <f t="shared" si="12"/>
        <v>1.440237017243764</v>
      </c>
      <c r="N64" s="3">
        <f t="shared" si="13"/>
        <v>1.4240130009790855</v>
      </c>
      <c r="O64" s="3">
        <f>IF(M64="","",MOD(M64+Geometry!$B$47*N64+PI(),2*PI())-PI())</f>
        <v>1.6224016264678731E-2</v>
      </c>
      <c r="P64" s="3" t="b">
        <f t="shared" si="14"/>
        <v>1</v>
      </c>
      <c r="Q64" s="3">
        <f>IF(P64=FALSE,"",IF((Geometry!$B$28*COS(O64)+Geometry!$B$32*SIN(O64)+Geometry!$B$8*Geometry!$B$30*(1-COS(O64)))&gt;=0,1,-1)*ACOS(MAX(-1,MIN(1,(Geometry!$B$27*COS(O64)+Geometry!$B$31*SIN(O64)+Geometry!$B$7*Geometry!$B$30*(1-COS(O64)))/SQRT((Geometry!$B$27*COS(O64)+Geometry!$B$31*SIN(O64)+Geometry!$B$7*Geometry!$B$30*(1-COS(O64)))^2+(Geometry!$B$28*COS(O64)+Geometry!$B$32*SIN(O64)+Geometry!$B$8*Geometry!$B$30*(1-COS(O64)))^2))))*180/PI())</f>
        <v>0.91249906257997337</v>
      </c>
      <c r="R64" s="3">
        <f>IF(NOT(ISNUMBER($A64)),"",Inputs!$B$21+$A64*Inputs!$E$6/SQRT(Inputs!$E$6^2+Inputs!$E$7^2+Inputs!$E$8^2))</f>
        <v>919.87300000000005</v>
      </c>
      <c r="S64" s="3">
        <f>IF(NOT(ISNUMBER($A64)),"",Inputs!$C$21+$A64*Inputs!$E$7/SQRT(Inputs!$E$6^2+Inputs!$E$7^2+Inputs!$E$8^2))</f>
        <v>-255.45400000000001</v>
      </c>
      <c r="T64" s="3">
        <f>IF(NOT(ISNUMBER($A64)),"",Inputs!$D$21+$A64*Inputs!$E$8/SQRT(Inputs!$E$6^2+Inputs!$E$7^2+Inputs!$E$8^2))</f>
        <v>182.18899999999999</v>
      </c>
      <c r="U64" s="3">
        <f>IF(NOT(ISNUMBER($A64)),"",Inputs!$B$19+Geometry!$C$15-R64)</f>
        <v>-24.932661268328502</v>
      </c>
      <c r="V64" s="3">
        <f>IF(NOT(ISNUMBER($A64)),"",Inputs!$C$19+Geometry!$C$16-S64)</f>
        <v>-185.76798447238372</v>
      </c>
      <c r="W64" s="3">
        <f>IF(NOT(ISNUMBER($A64)),"",Inputs!$D$19+Geometry!$C$17-T64)</f>
        <v>11.015351937228701</v>
      </c>
      <c r="X64" s="3">
        <f>IF(NOT(ISNUMBER($A64)),"",2*(U64*Geometry!$C$18+V64*Geometry!$C$19+W64*Geometry!$C$20))</f>
        <v>7480.299737356032</v>
      </c>
      <c r="Y64" s="3">
        <f>IF(NOT(ISNUMBER($A64)),"",2*(U64*Geometry!$C$21+V64*Geometry!$C$22+W64*Geometry!$C$23))</f>
        <v>-55766.853871545114</v>
      </c>
      <c r="Z64" s="3">
        <f>IF(NOT(ISNUMBER($A64)),"",Geometry!$C$24^2-(U64^2+V64^2+W64^2)-(Geometry!$C$18^2+Geometry!$C$19^2+Geometry!$C$20^2))</f>
        <v>6587.111737356041</v>
      </c>
      <c r="AA64" s="3">
        <f t="shared" si="15"/>
        <v>56266.303191972322</v>
      </c>
      <c r="AB64" s="3">
        <f t="shared" si="16"/>
        <v>0.11707027765591402</v>
      </c>
      <c r="AC64" s="3">
        <f t="shared" si="17"/>
        <v>-1.4374569882665846</v>
      </c>
      <c r="AD64" s="3">
        <f t="shared" si="18"/>
        <v>1.453456969472535</v>
      </c>
      <c r="AE64" s="3">
        <f>IF(AC64="","",MOD(AC64+Geometry!$C$47*AD64+PI(),2*PI())-PI())</f>
        <v>1.5999981205950142E-2</v>
      </c>
      <c r="AF64" s="3" t="b">
        <f t="shared" si="19"/>
        <v>1</v>
      </c>
      <c r="AG64" s="3">
        <f>IF(AF64=FALSE,"",IF((Geometry!$C$28*COS(AE64)+Geometry!$C$32*SIN(AE64)+Geometry!$C$8*Geometry!$C$30*(1-COS(AE64)))&gt;=0,1,-1)*ACOS(MAX(-1,MIN(1,(Geometry!$C$27*COS(AE64)+Geometry!$C$31*SIN(AE64)+Geometry!$C$7*Geometry!$C$30*(1-COS(AE64)))/SQRT((Geometry!$C$27*COS(AE64)+Geometry!$C$31*SIN(AE64)+Geometry!$C$7*Geometry!$C$30*(1-COS(AE64)))^2+(Geometry!$C$28*COS(AE64)+Geometry!$C$32*SIN(AE64)+Geometry!$C$8*Geometry!$C$30*(1-COS(AE64)))^2))))*180/PI())</f>
        <v>0.89971457251734477</v>
      </c>
    </row>
    <row r="65" spans="1:33">
      <c r="A65" s="3">
        <f>IF(Inputs!$E$9+63*Inputs!$E$11&lt;=Inputs!$E$10,Inputs!$E$9+63*Inputs!$E$11,"")</f>
        <v>3</v>
      </c>
      <c r="B65" s="3">
        <f>IF(NOT(ISNUMBER($A65)),"",Inputs!$B$17+$A65*Inputs!$E$6/SQRT(Inputs!$E$6^2+Inputs!$E$7^2+Inputs!$E$8^2))</f>
        <v>919.87300000000005</v>
      </c>
      <c r="C65" s="3">
        <f>IF(NOT(ISNUMBER($A65)),"",Inputs!$C$17+$A65*Inputs!$E$7/SQRT(Inputs!$E$6^2+Inputs!$E$7^2+Inputs!$E$8^2))</f>
        <v>260.45400000000001</v>
      </c>
      <c r="D65" s="3">
        <f>IF(NOT(ISNUMBER($A65)),"",Inputs!$D$17+$A65*Inputs!$E$8/SQRT(Inputs!$E$6^2+Inputs!$E$7^2+Inputs!$E$8^2))</f>
        <v>182.18899999999999</v>
      </c>
      <c r="E65" s="3">
        <f>IF(NOT(ISNUMBER($A65)),"",Inputs!$B$15+Geometry!$B$15-B65)</f>
        <v>-24.932661268328502</v>
      </c>
      <c r="F65" s="3">
        <f>IF(NOT(ISNUMBER($A65)),"",Inputs!$C$15+Geometry!$B$16-C65)</f>
        <v>180.76798447238372</v>
      </c>
      <c r="G65" s="3">
        <f>IF(NOT(ISNUMBER($A65)),"",Inputs!$D$15+Geometry!$B$17-D65)</f>
        <v>11.015351937228701</v>
      </c>
      <c r="H65" s="3">
        <f>IF(NOT(ISNUMBER($A65)),"",2*(E65*Geometry!$B$18+F65*Geometry!$B$19+G65*Geometry!$B$20))</f>
        <v>7095.0095820798688</v>
      </c>
      <c r="I65" s="3">
        <f>IF(NOT(ISNUMBER($A65)),"",2*(E65*Geometry!$B$21+F65*Geometry!$B$22+G65*Geometry!$B$23))</f>
        <v>54334.442048819605</v>
      </c>
      <c r="J65" s="3">
        <f>IF(NOT(ISNUMBER($A65)),"",Geometry!$B$24^2-(E65^2+F65^2+G65^2)-(Geometry!$B$18^2+Geometry!$B$19^2+Geometry!$B$20^2))</f>
        <v>8419.7915820798808</v>
      </c>
      <c r="K65" s="3">
        <f t="shared" si="10"/>
        <v>54795.718388632711</v>
      </c>
      <c r="L65" s="3">
        <f t="shared" si="11"/>
        <v>0.1536578373215845</v>
      </c>
      <c r="M65" s="3">
        <f t="shared" si="12"/>
        <v>1.44095067594605</v>
      </c>
      <c r="N65" s="3">
        <f t="shared" si="13"/>
        <v>1.416527310964431</v>
      </c>
      <c r="O65" s="3">
        <f>IF(M65="","",MOD(M65+Geometry!$B$47*N65+PI(),2*PI())-PI())</f>
        <v>2.4423364981618789E-2</v>
      </c>
      <c r="P65" s="3" t="b">
        <f t="shared" si="14"/>
        <v>1</v>
      </c>
      <c r="Q65" s="3">
        <f>IF(P65=FALSE,"",IF((Geometry!$B$28*COS(O65)+Geometry!$B$32*SIN(O65)+Geometry!$B$8*Geometry!$B$30*(1-COS(O65)))&gt;=0,1,-1)*ACOS(MAX(-1,MIN(1,(Geometry!$B$27*COS(O65)+Geometry!$B$31*SIN(O65)+Geometry!$B$7*Geometry!$B$30*(1-COS(O65)))/SQRT((Geometry!$B$27*COS(O65)+Geometry!$B$31*SIN(O65)+Geometry!$B$7*Geometry!$B$30*(1-COS(O65)))^2+(Geometry!$B$28*COS(O65)+Geometry!$B$32*SIN(O65)+Geometry!$B$8*Geometry!$B$30*(1-COS(O65)))^2))))*180/PI())</f>
        <v>1.3737367905748343</v>
      </c>
      <c r="R65" s="3">
        <f>IF(NOT(ISNUMBER($A65)),"",Inputs!$B$21+$A65*Inputs!$E$6/SQRT(Inputs!$E$6^2+Inputs!$E$7^2+Inputs!$E$8^2))</f>
        <v>919.87300000000005</v>
      </c>
      <c r="S65" s="3">
        <f>IF(NOT(ISNUMBER($A65)),"",Inputs!$C$21+$A65*Inputs!$E$7/SQRT(Inputs!$E$6^2+Inputs!$E$7^2+Inputs!$E$8^2))</f>
        <v>-254.45400000000001</v>
      </c>
      <c r="T65" s="3">
        <f>IF(NOT(ISNUMBER($A65)),"",Inputs!$D$21+$A65*Inputs!$E$8/SQRT(Inputs!$E$6^2+Inputs!$E$7^2+Inputs!$E$8^2))</f>
        <v>182.18899999999999</v>
      </c>
      <c r="U65" s="3">
        <f>IF(NOT(ISNUMBER($A65)),"",Inputs!$B$19+Geometry!$C$15-R65)</f>
        <v>-24.932661268328502</v>
      </c>
      <c r="V65" s="3">
        <f>IF(NOT(ISNUMBER($A65)),"",Inputs!$C$19+Geometry!$C$16-S65)</f>
        <v>-186.76798447238372</v>
      </c>
      <c r="W65" s="3">
        <f>IF(NOT(ISNUMBER($A65)),"",Inputs!$D$19+Geometry!$C$17-T65)</f>
        <v>11.015351937228701</v>
      </c>
      <c r="X65" s="3">
        <f>IF(NOT(ISNUMBER($A65)),"",2*(U65*Geometry!$C$18+V65*Geometry!$C$19+W65*Geometry!$C$20))</f>
        <v>7557.3577684112643</v>
      </c>
      <c r="Y65" s="3">
        <f>IF(NOT(ISNUMBER($A65)),"",2*(U65*Geometry!$C$21+V65*Geometry!$C$22+W65*Geometry!$C$23))</f>
        <v>-56053.33623609021</v>
      </c>
      <c r="Z65" s="3">
        <f>IF(NOT(ISNUMBER($A65)),"",Geometry!$C$24^2-(U65^2+V65^2+W65^2)-(Geometry!$C$18^2+Geometry!$C$19^2+Geometry!$C$20^2))</f>
        <v>6214.5757684112759</v>
      </c>
      <c r="AA65" s="3">
        <f t="shared" si="15"/>
        <v>56560.499994571735</v>
      </c>
      <c r="AB65" s="3">
        <f t="shared" si="16"/>
        <v>0.10987483789937687</v>
      </c>
      <c r="AC65" s="3">
        <f t="shared" si="17"/>
        <v>-1.4367800538285407</v>
      </c>
      <c r="AD65" s="3">
        <f t="shared" si="18"/>
        <v>1.4606992022032452</v>
      </c>
      <c r="AE65" s="3">
        <f>IF(AC65="","",MOD(AC65+Geometry!$C$47*AD65+PI(),2*PI())-PI())</f>
        <v>2.3919148374704768E-2</v>
      </c>
      <c r="AF65" s="3" t="b">
        <f t="shared" si="19"/>
        <v>1</v>
      </c>
      <c r="AG65" s="3">
        <f>IF(AF65=FALSE,"",IF((Geometry!$C$28*COS(AE65)+Geometry!$C$32*SIN(AE65)+Geometry!$C$8*Geometry!$C$30*(1-COS(AE65)))&gt;=0,1,-1)*ACOS(MAX(-1,MIN(1,(Geometry!$C$27*COS(AE65)+Geometry!$C$31*SIN(AE65)+Geometry!$C$7*Geometry!$C$30*(1-COS(AE65)))/SQRT((Geometry!$C$27*COS(AE65)+Geometry!$C$31*SIN(AE65)+Geometry!$C$7*Geometry!$C$30*(1-COS(AE65)))^2+(Geometry!$C$28*COS(AE65)+Geometry!$C$32*SIN(AE65)+Geometry!$C$8*Geometry!$C$30*(1-COS(AE65)))^2))))*180/PI())</f>
        <v>1.3449636100919371</v>
      </c>
    </row>
    <row r="66" spans="1:33">
      <c r="A66" s="3">
        <f>IF(Inputs!$E$9+64*Inputs!$E$11&lt;=Inputs!$E$10,Inputs!$E$9+64*Inputs!$E$11,"")</f>
        <v>4</v>
      </c>
      <c r="B66" s="3">
        <f>IF(NOT(ISNUMBER($A66)),"",Inputs!$B$17+$A66*Inputs!$E$6/SQRT(Inputs!$E$6^2+Inputs!$E$7^2+Inputs!$E$8^2))</f>
        <v>919.87300000000005</v>
      </c>
      <c r="C66" s="3">
        <f>IF(NOT(ISNUMBER($A66)),"",Inputs!$C$17+$A66*Inputs!$E$7/SQRT(Inputs!$E$6^2+Inputs!$E$7^2+Inputs!$E$8^2))</f>
        <v>261.45400000000001</v>
      </c>
      <c r="D66" s="3">
        <f>IF(NOT(ISNUMBER($A66)),"",Inputs!$D$17+$A66*Inputs!$E$8/SQRT(Inputs!$E$6^2+Inputs!$E$7^2+Inputs!$E$8^2))</f>
        <v>182.18899999999999</v>
      </c>
      <c r="E66" s="3">
        <f>IF(NOT(ISNUMBER($A66)),"",Inputs!$B$15+Geometry!$B$15-B66)</f>
        <v>-24.932661268328502</v>
      </c>
      <c r="F66" s="3">
        <f>IF(NOT(ISNUMBER($A66)),"",Inputs!$C$15+Geometry!$B$16-C66)</f>
        <v>179.76798447238372</v>
      </c>
      <c r="G66" s="3">
        <f>IF(NOT(ISNUMBER($A66)),"",Inputs!$D$15+Geometry!$B$17-D66)</f>
        <v>11.015351937228701</v>
      </c>
      <c r="H66" s="3">
        <f>IF(NOT(ISNUMBER($A66)),"",2*(E66*Geometry!$B$18+F66*Geometry!$B$19+G66*Geometry!$B$20))</f>
        <v>7017.9515510246365</v>
      </c>
      <c r="I66" s="3">
        <f>IF(NOT(ISNUMBER($A66)),"",2*(E66*Geometry!$B$21+F66*Geometry!$B$22+G66*Geometry!$B$23))</f>
        <v>54047.959684274501</v>
      </c>
      <c r="J66" s="3">
        <f>IF(NOT(ISNUMBER($A66)),"",Geometry!$B$24^2-(E66^2+F66^2+G66^2)-(Geometry!$B$18^2+Geometry!$B$19^2+Geometry!$B$20^2))</f>
        <v>8780.3275510246458</v>
      </c>
      <c r="K66" s="3">
        <f t="shared" ref="K66:K102" si="20">IF(NOT(ISNUMBER($A66)),"",SQRT(H66^2+I66^2))</f>
        <v>54501.684285951116</v>
      </c>
      <c r="L66" s="3">
        <f t="shared" ref="L66:L97" si="21">IF(OR(NOT(ISNUMBER($A66)),K66&lt;0.000000000001),"",MAX(-1,MIN(1,J66/K66)))</f>
        <v>0.1611019487940476</v>
      </c>
      <c r="M66" s="3">
        <f t="shared" ref="M66:M102" si="22">IF(OR(NOT(ISNUMBER($A66)),K66&lt;0.000000000001),"",IF(I66&gt;=0,ACOS(MAX(-1,MIN(1,H66/K66))),-ACOS(MAX(-1,MIN(1,H66/K66)))))</f>
        <v>1.4416720353313857</v>
      </c>
      <c r="N66" s="3">
        <f t="shared" ref="N66:N102" si="23">IF(L66="","",ACOS(L66))</f>
        <v>1.4089892421327184</v>
      </c>
      <c r="O66" s="3">
        <f>IF(M66="","",MOD(M66+Geometry!$B$47*N66+PI(),2*PI())-PI())</f>
        <v>3.2682793198667071E-2</v>
      </c>
      <c r="P66" s="3" t="b">
        <f t="shared" ref="P66:P102" si="24">IF(NOT(ISNUMBER($A66)),"",AND(K66&gt;=0.000000000001,ABS(J66)&lt;=K66+0.00000001))</f>
        <v>1</v>
      </c>
      <c r="Q66" s="3">
        <f>IF(P66=FALSE,"",IF((Geometry!$B$28*COS(O66)+Geometry!$B$32*SIN(O66)+Geometry!$B$8*Geometry!$B$30*(1-COS(O66)))&gt;=0,1,-1)*ACOS(MAX(-1,MIN(1,(Geometry!$B$27*COS(O66)+Geometry!$B$31*SIN(O66)+Geometry!$B$7*Geometry!$B$30*(1-COS(O66)))/SQRT((Geometry!$B$27*COS(O66)+Geometry!$B$31*SIN(O66)+Geometry!$B$7*Geometry!$B$30*(1-COS(O66)))^2+(Geometry!$B$28*COS(O66)+Geometry!$B$32*SIN(O66)+Geometry!$B$8*Geometry!$B$30*(1-COS(O66)))^2))))*180/PI())</f>
        <v>1.8384080209412328</v>
      </c>
      <c r="R66" s="3">
        <f>IF(NOT(ISNUMBER($A66)),"",Inputs!$B$21+$A66*Inputs!$E$6/SQRT(Inputs!$E$6^2+Inputs!$E$7^2+Inputs!$E$8^2))</f>
        <v>919.87300000000005</v>
      </c>
      <c r="S66" s="3">
        <f>IF(NOT(ISNUMBER($A66)),"",Inputs!$C$21+$A66*Inputs!$E$7/SQRT(Inputs!$E$6^2+Inputs!$E$7^2+Inputs!$E$8^2))</f>
        <v>-253.45400000000001</v>
      </c>
      <c r="T66" s="3">
        <f>IF(NOT(ISNUMBER($A66)),"",Inputs!$D$21+$A66*Inputs!$E$8/SQRT(Inputs!$E$6^2+Inputs!$E$7^2+Inputs!$E$8^2))</f>
        <v>182.18899999999999</v>
      </c>
      <c r="U66" s="3">
        <f>IF(NOT(ISNUMBER($A66)),"",Inputs!$B$19+Geometry!$C$15-R66)</f>
        <v>-24.932661268328502</v>
      </c>
      <c r="V66" s="3">
        <f>IF(NOT(ISNUMBER($A66)),"",Inputs!$C$19+Geometry!$C$16-S66)</f>
        <v>-187.76798447238372</v>
      </c>
      <c r="W66" s="3">
        <f>IF(NOT(ISNUMBER($A66)),"",Inputs!$D$19+Geometry!$C$17-T66)</f>
        <v>11.015351937228701</v>
      </c>
      <c r="X66" s="3">
        <f>IF(NOT(ISNUMBER($A66)),"",2*(U66*Geometry!$C$18+V66*Geometry!$C$19+W66*Geometry!$C$20))</f>
        <v>7634.4157994664965</v>
      </c>
      <c r="Y66" s="3">
        <f>IF(NOT(ISNUMBER($A66)),"",2*(U66*Geometry!$C$21+V66*Geometry!$C$22+W66*Geometry!$C$23))</f>
        <v>-56339.818600635313</v>
      </c>
      <c r="Z66" s="3">
        <f>IF(NOT(ISNUMBER($A66)),"",Geometry!$C$24^2-(U66^2+V66^2+W66^2)-(Geometry!$C$18^2+Geometry!$C$19^2+Geometry!$C$20^2))</f>
        <v>5840.0397994665036</v>
      </c>
      <c r="AA66" s="3">
        <f t="shared" ref="AA66:AA102" si="25">IF(NOT(ISNUMBER($A66)),"",SQRT(X66^2+Y66^2))</f>
        <v>56854.722447230677</v>
      </c>
      <c r="AB66" s="3">
        <f t="shared" ref="AB66:AB97" si="26">IF(OR(NOT(ISNUMBER($A66)),AA66&lt;0.000000000001),"",MAX(-1,MIN(1,Z66/AA66)))</f>
        <v>0.10271864056476393</v>
      </c>
      <c r="AC66" s="3">
        <f t="shared" ref="AC66:AC102" si="27">IF(OR(NOT(ISNUMBER($A66)),AA66&lt;0.000000000001),"",IF(Y66&gt;=0,ACOS(MAX(-1,MIN(1,X66/AA66))),-ACOS(MAX(-1,MIN(1,X66/AA66)))))</f>
        <v>-1.4361101253400581</v>
      </c>
      <c r="AD66" s="3">
        <f t="shared" ref="AD66:AD102" si="28">IF(AB66="","",ACOS(AB66))</f>
        <v>1.4678961903910057</v>
      </c>
      <c r="AE66" s="3">
        <f>IF(AC66="","",MOD(AC66+Geometry!$C$47*AD66+PI(),2*PI())-PI())</f>
        <v>3.1786065050947609E-2</v>
      </c>
      <c r="AF66" s="3" t="b">
        <f t="shared" ref="AF66:AF102" si="29">IF(NOT(ISNUMBER($A66)),"",AND(AA66&gt;=0.000000000001,ABS(Z66)&lt;=AA66+0.00000001))</f>
        <v>1</v>
      </c>
      <c r="AG66" s="3">
        <f>IF(AF66=FALSE,"",IF((Geometry!$C$28*COS(AE66)+Geometry!$C$32*SIN(AE66)+Geometry!$C$8*Geometry!$C$30*(1-COS(AE66)))&gt;=0,1,-1)*ACOS(MAX(-1,MIN(1,(Geometry!$C$27*COS(AE66)+Geometry!$C$31*SIN(AE66)+Geometry!$C$7*Geometry!$C$30*(1-COS(AE66)))/SQRT((Geometry!$C$27*COS(AE66)+Geometry!$C$31*SIN(AE66)+Geometry!$C$7*Geometry!$C$30*(1-COS(AE66)))^2+(Geometry!$C$28*COS(AE66)+Geometry!$C$32*SIN(AE66)+Geometry!$C$8*Geometry!$C$30*(1-COS(AE66)))^2))))*180/PI())</f>
        <v>1.7872355783951521</v>
      </c>
    </row>
    <row r="67" spans="1:33">
      <c r="A67" s="3">
        <f>IF(Inputs!$E$9+65*Inputs!$E$11&lt;=Inputs!$E$10,Inputs!$E$9+65*Inputs!$E$11,"")</f>
        <v>5</v>
      </c>
      <c r="B67" s="3">
        <f>IF(NOT(ISNUMBER($A67)),"",Inputs!$B$17+$A67*Inputs!$E$6/SQRT(Inputs!$E$6^2+Inputs!$E$7^2+Inputs!$E$8^2))</f>
        <v>919.87300000000005</v>
      </c>
      <c r="C67" s="3">
        <f>IF(NOT(ISNUMBER($A67)),"",Inputs!$C$17+$A67*Inputs!$E$7/SQRT(Inputs!$E$6^2+Inputs!$E$7^2+Inputs!$E$8^2))</f>
        <v>262.45400000000001</v>
      </c>
      <c r="D67" s="3">
        <f>IF(NOT(ISNUMBER($A67)),"",Inputs!$D$17+$A67*Inputs!$E$8/SQRT(Inputs!$E$6^2+Inputs!$E$7^2+Inputs!$E$8^2))</f>
        <v>182.18899999999999</v>
      </c>
      <c r="E67" s="3">
        <f>IF(NOT(ISNUMBER($A67)),"",Inputs!$B$15+Geometry!$B$15-B67)</f>
        <v>-24.932661268328502</v>
      </c>
      <c r="F67" s="3">
        <f>IF(NOT(ISNUMBER($A67)),"",Inputs!$C$15+Geometry!$B$16-C67)</f>
        <v>178.76798447238372</v>
      </c>
      <c r="G67" s="3">
        <f>IF(NOT(ISNUMBER($A67)),"",Inputs!$D$15+Geometry!$B$17-D67)</f>
        <v>11.015351937228701</v>
      </c>
      <c r="H67" s="3">
        <f>IF(NOT(ISNUMBER($A67)),"",2*(E67*Geometry!$B$18+F67*Geometry!$B$19+G67*Geometry!$B$20))</f>
        <v>6940.8935199694042</v>
      </c>
      <c r="I67" s="3">
        <f>IF(NOT(ISNUMBER($A67)),"",2*(E67*Geometry!$B$21+F67*Geometry!$B$22+G67*Geometry!$B$23))</f>
        <v>53761.477319729398</v>
      </c>
      <c r="J67" s="3">
        <f>IF(NOT(ISNUMBER($A67)),"",Geometry!$B$24^2-(E67^2+F67^2+G67^2)-(Geometry!$B$18^2+Geometry!$B$19^2+Geometry!$B$20^2))</f>
        <v>9138.8635199694145</v>
      </c>
      <c r="K67" s="3">
        <f t="shared" si="20"/>
        <v>54207.67885138905</v>
      </c>
      <c r="L67" s="3">
        <f t="shared" si="21"/>
        <v>0.168589832909535</v>
      </c>
      <c r="M67" s="3">
        <f t="shared" si="22"/>
        <v>1.4424012199533467</v>
      </c>
      <c r="N67" s="3">
        <f t="shared" si="23"/>
        <v>1.401397478155217</v>
      </c>
      <c r="O67" s="3">
        <f>IF(M67="","",MOD(M67+Geometry!$B$47*N67+PI(),2*PI())-PI())</f>
        <v>4.1003741798129489E-2</v>
      </c>
      <c r="P67" s="3" t="b">
        <f t="shared" si="24"/>
        <v>1</v>
      </c>
      <c r="Q67" s="3">
        <f>IF(P67=FALSE,"",IF((Geometry!$B$28*COS(O67)+Geometry!$B$32*SIN(O67)+Geometry!$B$8*Geometry!$B$30*(1-COS(O67)))&gt;=0,1,-1)*ACOS(MAX(-1,MIN(1,(Geometry!$B$27*COS(O67)+Geometry!$B$31*SIN(O67)+Geometry!$B$7*Geometry!$B$30*(1-COS(O67)))/SQRT((Geometry!$B$27*COS(O67)+Geometry!$B$31*SIN(O67)+Geometry!$B$7*Geometry!$B$30*(1-COS(O67)))^2+(Geometry!$B$28*COS(O67)+Geometry!$B$32*SIN(O67)+Geometry!$B$8*Geometry!$B$30*(1-COS(O67)))^2))))*180/PI())</f>
        <v>2.3065968063392197</v>
      </c>
      <c r="R67" s="3">
        <f>IF(NOT(ISNUMBER($A67)),"",Inputs!$B$21+$A67*Inputs!$E$6/SQRT(Inputs!$E$6^2+Inputs!$E$7^2+Inputs!$E$8^2))</f>
        <v>919.87300000000005</v>
      </c>
      <c r="S67" s="3">
        <f>IF(NOT(ISNUMBER($A67)),"",Inputs!$C$21+$A67*Inputs!$E$7/SQRT(Inputs!$E$6^2+Inputs!$E$7^2+Inputs!$E$8^2))</f>
        <v>-252.45400000000001</v>
      </c>
      <c r="T67" s="3">
        <f>IF(NOT(ISNUMBER($A67)),"",Inputs!$D$21+$A67*Inputs!$E$8/SQRT(Inputs!$E$6^2+Inputs!$E$7^2+Inputs!$E$8^2))</f>
        <v>182.18899999999999</v>
      </c>
      <c r="U67" s="3">
        <f>IF(NOT(ISNUMBER($A67)),"",Inputs!$B$19+Geometry!$C$15-R67)</f>
        <v>-24.932661268328502</v>
      </c>
      <c r="V67" s="3">
        <f>IF(NOT(ISNUMBER($A67)),"",Inputs!$C$19+Geometry!$C$16-S67)</f>
        <v>-188.76798447238372</v>
      </c>
      <c r="W67" s="3">
        <f>IF(NOT(ISNUMBER($A67)),"",Inputs!$D$19+Geometry!$C$17-T67)</f>
        <v>11.015351937228701</v>
      </c>
      <c r="X67" s="3">
        <f>IF(NOT(ISNUMBER($A67)),"",2*(U67*Geometry!$C$18+V67*Geometry!$C$19+W67*Geometry!$C$20))</f>
        <v>7711.4738305217288</v>
      </c>
      <c r="Y67" s="3">
        <f>IF(NOT(ISNUMBER($A67)),"",2*(U67*Geometry!$C$21+V67*Geometry!$C$22+W67*Geometry!$C$23))</f>
        <v>-56626.300965180417</v>
      </c>
      <c r="Z67" s="3">
        <f>IF(NOT(ISNUMBER($A67)),"",Geometry!$C$24^2-(U67^2+V67^2+W67^2)-(Geometry!$C$18^2+Geometry!$C$19^2+Geometry!$C$20^2))</f>
        <v>5463.5038305217386</v>
      </c>
      <c r="AA67" s="3">
        <f t="shared" si="25"/>
        <v>57148.970153783303</v>
      </c>
      <c r="AB67" s="3">
        <f t="shared" si="26"/>
        <v>9.5601089850261292E-2</v>
      </c>
      <c r="AC67" s="3">
        <f t="shared" si="27"/>
        <v>-1.4354470951907983</v>
      </c>
      <c r="AD67" s="3">
        <f t="shared" si="28"/>
        <v>1.4750490092870783</v>
      </c>
      <c r="AE67" s="3">
        <f>IF(AC67="","",MOD(AC67+Geometry!$C$47*AD67+PI(),2*PI())-PI())</f>
        <v>3.9601914096279778E-2</v>
      </c>
      <c r="AF67" s="3" t="b">
        <f t="shared" si="29"/>
        <v>1</v>
      </c>
      <c r="AG67" s="3">
        <f>IF(AF67=FALSE,"",IF((Geometry!$C$28*COS(AE67)+Geometry!$C$32*SIN(AE67)+Geometry!$C$8*Geometry!$C$30*(1-COS(AE67)))&gt;=0,1,-1)*ACOS(MAX(-1,MIN(1,(Geometry!$C$27*COS(AE67)+Geometry!$C$31*SIN(AE67)+Geometry!$C$7*Geometry!$C$30*(1-COS(AE67)))/SQRT((Geometry!$C$27*COS(AE67)+Geometry!$C$31*SIN(AE67)+Geometry!$C$7*Geometry!$C$30*(1-COS(AE67)))^2+(Geometry!$C$28*COS(AE67)+Geometry!$C$32*SIN(AE67)+Geometry!$C$8*Geometry!$C$30*(1-COS(AE67)))^2))))*180/PI())</f>
        <v>2.2265993966451942</v>
      </c>
    </row>
    <row r="68" spans="1:33">
      <c r="A68" s="3">
        <f>IF(Inputs!$E$9+66*Inputs!$E$11&lt;=Inputs!$E$10,Inputs!$E$9+66*Inputs!$E$11,"")</f>
        <v>6</v>
      </c>
      <c r="B68" s="3">
        <f>IF(NOT(ISNUMBER($A68)),"",Inputs!$B$17+$A68*Inputs!$E$6/SQRT(Inputs!$E$6^2+Inputs!$E$7^2+Inputs!$E$8^2))</f>
        <v>919.87300000000005</v>
      </c>
      <c r="C68" s="3">
        <f>IF(NOT(ISNUMBER($A68)),"",Inputs!$C$17+$A68*Inputs!$E$7/SQRT(Inputs!$E$6^2+Inputs!$E$7^2+Inputs!$E$8^2))</f>
        <v>263.45400000000001</v>
      </c>
      <c r="D68" s="3">
        <f>IF(NOT(ISNUMBER($A68)),"",Inputs!$D$17+$A68*Inputs!$E$8/SQRT(Inputs!$E$6^2+Inputs!$E$7^2+Inputs!$E$8^2))</f>
        <v>182.18899999999999</v>
      </c>
      <c r="E68" s="3">
        <f>IF(NOT(ISNUMBER($A68)),"",Inputs!$B$15+Geometry!$B$15-B68)</f>
        <v>-24.932661268328502</v>
      </c>
      <c r="F68" s="3">
        <f>IF(NOT(ISNUMBER($A68)),"",Inputs!$C$15+Geometry!$B$16-C68)</f>
        <v>177.76798447238372</v>
      </c>
      <c r="G68" s="3">
        <f>IF(NOT(ISNUMBER($A68)),"",Inputs!$D$15+Geometry!$B$17-D68)</f>
        <v>11.015351937228701</v>
      </c>
      <c r="H68" s="3">
        <f>IF(NOT(ISNUMBER($A68)),"",2*(E68*Geometry!$B$18+F68*Geometry!$B$19+G68*Geometry!$B$20))</f>
        <v>6863.8354889141719</v>
      </c>
      <c r="I68" s="3">
        <f>IF(NOT(ISNUMBER($A68)),"",2*(E68*Geometry!$B$21+F68*Geometry!$B$22+G68*Geometry!$B$23))</f>
        <v>53474.994955184295</v>
      </c>
      <c r="J68" s="3">
        <f>IF(NOT(ISNUMBER($A68)),"",Geometry!$B$24^2-(E68^2+F68^2+G68^2)-(Geometry!$B$18^2+Geometry!$B$19^2+Geometry!$B$20^2))</f>
        <v>9495.3994889141795</v>
      </c>
      <c r="K68" s="3">
        <f t="shared" si="20"/>
        <v>53913.702553950643</v>
      </c>
      <c r="L68" s="3">
        <f t="shared" si="21"/>
        <v>0.17612219230189716</v>
      </c>
      <c r="M68" s="3">
        <f t="shared" si="22"/>
        <v>1.4431383570492409</v>
      </c>
      <c r="N68" s="3">
        <f t="shared" si="23"/>
        <v>1.3937506620010771</v>
      </c>
      <c r="O68" s="3">
        <f>IF(M68="","",MOD(M68+Geometry!$B$47*N68+PI(),2*PI())-PI())</f>
        <v>4.938769504816376E-2</v>
      </c>
      <c r="P68" s="3" t="b">
        <f t="shared" si="24"/>
        <v>1</v>
      </c>
      <c r="Q68" s="3">
        <f>IF(P68=FALSE,"",IF((Geometry!$B$28*COS(O68)+Geometry!$B$32*SIN(O68)+Geometry!$B$8*Geometry!$B$30*(1-COS(O68)))&gt;=0,1,-1)*ACOS(MAX(-1,MIN(1,(Geometry!$B$27*COS(O68)+Geometry!$B$31*SIN(O68)+Geometry!$B$7*Geometry!$B$30*(1-COS(O68)))/SQRT((Geometry!$B$27*COS(O68)+Geometry!$B$31*SIN(O68)+Geometry!$B$7*Geometry!$B$30*(1-COS(O68)))^2+(Geometry!$B$28*COS(O68)+Geometry!$B$32*SIN(O68)+Geometry!$B$8*Geometry!$B$30*(1-COS(O68)))^2))))*180/PI())</f>
        <v>2.7783897449434836</v>
      </c>
      <c r="R68" s="3">
        <f>IF(NOT(ISNUMBER($A68)),"",Inputs!$B$21+$A68*Inputs!$E$6/SQRT(Inputs!$E$6^2+Inputs!$E$7^2+Inputs!$E$8^2))</f>
        <v>919.87300000000005</v>
      </c>
      <c r="S68" s="3">
        <f>IF(NOT(ISNUMBER($A68)),"",Inputs!$C$21+$A68*Inputs!$E$7/SQRT(Inputs!$E$6^2+Inputs!$E$7^2+Inputs!$E$8^2))</f>
        <v>-251.45400000000001</v>
      </c>
      <c r="T68" s="3">
        <f>IF(NOT(ISNUMBER($A68)),"",Inputs!$D$21+$A68*Inputs!$E$8/SQRT(Inputs!$E$6^2+Inputs!$E$7^2+Inputs!$E$8^2))</f>
        <v>182.18899999999999</v>
      </c>
      <c r="U68" s="3">
        <f>IF(NOT(ISNUMBER($A68)),"",Inputs!$B$19+Geometry!$C$15-R68)</f>
        <v>-24.932661268328502</v>
      </c>
      <c r="V68" s="3">
        <f>IF(NOT(ISNUMBER($A68)),"",Inputs!$C$19+Geometry!$C$16-S68)</f>
        <v>-189.76798447238372</v>
      </c>
      <c r="W68" s="3">
        <f>IF(NOT(ISNUMBER($A68)),"",Inputs!$D$19+Geometry!$C$17-T68)</f>
        <v>11.015351937228701</v>
      </c>
      <c r="X68" s="3">
        <f>IF(NOT(ISNUMBER($A68)),"",2*(U68*Geometry!$C$18+V68*Geometry!$C$19+W68*Geometry!$C$20))</f>
        <v>7788.5318615769611</v>
      </c>
      <c r="Y68" s="3">
        <f>IF(NOT(ISNUMBER($A68)),"",2*(U68*Geometry!$C$21+V68*Geometry!$C$22+W68*Geometry!$C$23))</f>
        <v>-56912.78332972552</v>
      </c>
      <c r="Z68" s="3">
        <f>IF(NOT(ISNUMBER($A68)),"",Geometry!$C$24^2-(U68^2+V68^2+W68^2)-(Geometry!$C$18^2+Geometry!$C$19^2+Geometry!$C$20^2))</f>
        <v>5084.9678615769735</v>
      </c>
      <c r="AA68" s="3">
        <f t="shared" si="25"/>
        <v>57443.242726147371</v>
      </c>
      <c r="AB68" s="3">
        <f t="shared" si="26"/>
        <v>8.8521601850000825E-2</v>
      </c>
      <c r="AC68" s="3">
        <f t="shared" si="27"/>
        <v>-1.4347908579509592</v>
      </c>
      <c r="AD68" s="3">
        <f t="shared" si="28"/>
        <v>1.4821587050605964</v>
      </c>
      <c r="AE68" s="3">
        <f>IF(AC68="","",MOD(AC68+Geometry!$C$47*AD68+PI(),2*PI())-PI())</f>
        <v>4.736784710963704E-2</v>
      </c>
      <c r="AF68" s="3" t="b">
        <f t="shared" si="29"/>
        <v>1</v>
      </c>
      <c r="AG68" s="3">
        <f>IF(AF68=FALSE,"",IF((Geometry!$C$28*COS(AE68)+Geometry!$C$32*SIN(AE68)+Geometry!$C$8*Geometry!$C$30*(1-COS(AE68)))&gt;=0,1,-1)*ACOS(MAX(-1,MIN(1,(Geometry!$C$27*COS(AE68)+Geometry!$C$31*SIN(AE68)+Geometry!$C$7*Geometry!$C$30*(1-COS(AE68)))/SQRT((Geometry!$C$27*COS(AE68)+Geometry!$C$31*SIN(AE68)+Geometry!$C$7*Geometry!$C$30*(1-COS(AE68)))^2+(Geometry!$C$28*COS(AE68)+Geometry!$C$32*SIN(AE68)+Geometry!$C$8*Geometry!$C$30*(1-COS(AE68)))^2))))*180/PI())</f>
        <v>2.6631221512956951</v>
      </c>
    </row>
    <row r="69" spans="1:33">
      <c r="A69" s="3">
        <f>IF(Inputs!$E$9+67*Inputs!$E$11&lt;=Inputs!$E$10,Inputs!$E$9+67*Inputs!$E$11,"")</f>
        <v>7</v>
      </c>
      <c r="B69" s="3">
        <f>IF(NOT(ISNUMBER($A69)),"",Inputs!$B$17+$A69*Inputs!$E$6/SQRT(Inputs!$E$6^2+Inputs!$E$7^2+Inputs!$E$8^2))</f>
        <v>919.87300000000005</v>
      </c>
      <c r="C69" s="3">
        <f>IF(NOT(ISNUMBER($A69)),"",Inputs!$C$17+$A69*Inputs!$E$7/SQRT(Inputs!$E$6^2+Inputs!$E$7^2+Inputs!$E$8^2))</f>
        <v>264.45400000000001</v>
      </c>
      <c r="D69" s="3">
        <f>IF(NOT(ISNUMBER($A69)),"",Inputs!$D$17+$A69*Inputs!$E$8/SQRT(Inputs!$E$6^2+Inputs!$E$7^2+Inputs!$E$8^2))</f>
        <v>182.18899999999999</v>
      </c>
      <c r="E69" s="3">
        <f>IF(NOT(ISNUMBER($A69)),"",Inputs!$B$15+Geometry!$B$15-B69)</f>
        <v>-24.932661268328502</v>
      </c>
      <c r="F69" s="3">
        <f>IF(NOT(ISNUMBER($A69)),"",Inputs!$C$15+Geometry!$B$16-C69)</f>
        <v>176.76798447238372</v>
      </c>
      <c r="G69" s="3">
        <f>IF(NOT(ISNUMBER($A69)),"",Inputs!$D$15+Geometry!$B$17-D69)</f>
        <v>11.015351937228701</v>
      </c>
      <c r="H69" s="3">
        <f>IF(NOT(ISNUMBER($A69)),"",2*(E69*Geometry!$B$18+F69*Geometry!$B$19+G69*Geometry!$B$20))</f>
        <v>6786.7774578589379</v>
      </c>
      <c r="I69" s="3">
        <f>IF(NOT(ISNUMBER($A69)),"",2*(E69*Geometry!$B$21+F69*Geometry!$B$22+G69*Geometry!$B$23))</f>
        <v>53188.512590639199</v>
      </c>
      <c r="J69" s="3">
        <f>IF(NOT(ISNUMBER($A69)),"",Geometry!$B$24^2-(E69^2+F69^2+G69^2)-(Geometry!$B$18^2+Geometry!$B$19^2+Geometry!$B$20^2))</f>
        <v>9849.9354578589482</v>
      </c>
      <c r="K69" s="3">
        <f t="shared" si="20"/>
        <v>53619.755872878486</v>
      </c>
      <c r="L69" s="3">
        <f t="shared" si="21"/>
        <v>0.18369974457196594</v>
      </c>
      <c r="M69" s="3">
        <f t="shared" si="22"/>
        <v>1.4438835766123104</v>
      </c>
      <c r="N69" s="3">
        <f t="shared" si="23"/>
        <v>1.3860473941057152</v>
      </c>
      <c r="O69" s="3">
        <f>IF(M69="","",MOD(M69+Geometry!$B$47*N69+PI(),2*PI())-PI())</f>
        <v>5.7836182506595168E-2</v>
      </c>
      <c r="P69" s="3" t="b">
        <f t="shared" si="24"/>
        <v>1</v>
      </c>
      <c r="Q69" s="3">
        <f>IF(P69=FALSE,"",IF((Geometry!$B$28*COS(O69)+Geometry!$B$32*SIN(O69)+Geometry!$B$8*Geometry!$B$30*(1-COS(O69)))&gt;=0,1,-1)*ACOS(MAX(-1,MIN(1,(Geometry!$B$27*COS(O69)+Geometry!$B$31*SIN(O69)+Geometry!$B$7*Geometry!$B$30*(1-COS(O69)))/SQRT((Geometry!$B$27*COS(O69)+Geometry!$B$31*SIN(O69)+Geometry!$B$7*Geometry!$B$30*(1-COS(O69)))^2+(Geometry!$B$28*COS(O69)+Geometry!$B$32*SIN(O69)+Geometry!$B$8*Geometry!$B$30*(1-COS(O69)))^2))))*180/PI())</f>
        <v>3.2538760923066783</v>
      </c>
      <c r="R69" s="3">
        <f>IF(NOT(ISNUMBER($A69)),"",Inputs!$B$21+$A69*Inputs!$E$6/SQRT(Inputs!$E$6^2+Inputs!$E$7^2+Inputs!$E$8^2))</f>
        <v>919.87300000000005</v>
      </c>
      <c r="S69" s="3">
        <f>IF(NOT(ISNUMBER($A69)),"",Inputs!$C$21+$A69*Inputs!$E$7/SQRT(Inputs!$E$6^2+Inputs!$E$7^2+Inputs!$E$8^2))</f>
        <v>-250.45400000000001</v>
      </c>
      <c r="T69" s="3">
        <f>IF(NOT(ISNUMBER($A69)),"",Inputs!$D$21+$A69*Inputs!$E$8/SQRT(Inputs!$E$6^2+Inputs!$E$7^2+Inputs!$E$8^2))</f>
        <v>182.18899999999999</v>
      </c>
      <c r="U69" s="3">
        <f>IF(NOT(ISNUMBER($A69)),"",Inputs!$B$19+Geometry!$C$15-R69)</f>
        <v>-24.932661268328502</v>
      </c>
      <c r="V69" s="3">
        <f>IF(NOT(ISNUMBER($A69)),"",Inputs!$C$19+Geometry!$C$16-S69)</f>
        <v>-190.76798447238372</v>
      </c>
      <c r="W69" s="3">
        <f>IF(NOT(ISNUMBER($A69)),"",Inputs!$D$19+Geometry!$C$17-T69)</f>
        <v>11.015351937228701</v>
      </c>
      <c r="X69" s="3">
        <f>IF(NOT(ISNUMBER($A69)),"",2*(U69*Geometry!$C$18+V69*Geometry!$C$19+W69*Geometry!$C$20))</f>
        <v>7865.5898926321934</v>
      </c>
      <c r="Y69" s="3">
        <f>IF(NOT(ISNUMBER($A69)),"",2*(U69*Geometry!$C$21+V69*Geometry!$C$22+W69*Geometry!$C$23))</f>
        <v>-57199.265694270616</v>
      </c>
      <c r="Z69" s="3">
        <f>IF(NOT(ISNUMBER($A69)),"",Geometry!$C$24^2-(U69^2+V69^2+W69^2)-(Geometry!$C$18^2+Geometry!$C$19^2+Geometry!$C$20^2))</f>
        <v>4704.4318926322012</v>
      </c>
      <c r="AA69" s="3">
        <f t="shared" si="25"/>
        <v>57737.53978412001</v>
      </c>
      <c r="AB69" s="3">
        <f t="shared" si="26"/>
        <v>8.1479604261317978E-2</v>
      </c>
      <c r="AC69" s="3">
        <f t="shared" si="27"/>
        <v>-1.4341413103166301</v>
      </c>
      <c r="AD69" s="3">
        <f t="shared" si="28"/>
        <v>1.4892262959453082</v>
      </c>
      <c r="AE69" s="3">
        <f>IF(AC69="","",MOD(AC69+Geometry!$C$47*AD69+PI(),2*PI())-PI())</f>
        <v>5.508498562867814E-2</v>
      </c>
      <c r="AF69" s="3" t="b">
        <f t="shared" si="29"/>
        <v>1</v>
      </c>
      <c r="AG69" s="3">
        <f>IF(AF69=FALSE,"",IF((Geometry!$C$28*COS(AE69)+Geometry!$C$32*SIN(AE69)+Geometry!$C$8*Geometry!$C$30*(1-COS(AE69)))&gt;=0,1,-1)*ACOS(MAX(-1,MIN(1,(Geometry!$C$27*COS(AE69)+Geometry!$C$31*SIN(AE69)+Geometry!$C$7*Geometry!$C$30*(1-COS(AE69)))/SQRT((Geometry!$C$27*COS(AE69)+Geometry!$C$31*SIN(AE69)+Geometry!$C$7*Geometry!$C$30*(1-COS(AE69)))^2+(Geometry!$C$28*COS(AE69)+Geometry!$C$32*SIN(AE69)+Geometry!$C$8*Geometry!$C$30*(1-COS(AE69)))^2))))*180/PI())</f>
        <v>3.0968691667054373</v>
      </c>
    </row>
    <row r="70" spans="1:33">
      <c r="A70" s="3">
        <f>IF(Inputs!$E$9+68*Inputs!$E$11&lt;=Inputs!$E$10,Inputs!$E$9+68*Inputs!$E$11,"")</f>
        <v>8</v>
      </c>
      <c r="B70" s="3">
        <f>IF(NOT(ISNUMBER($A70)),"",Inputs!$B$17+$A70*Inputs!$E$6/SQRT(Inputs!$E$6^2+Inputs!$E$7^2+Inputs!$E$8^2))</f>
        <v>919.87300000000005</v>
      </c>
      <c r="C70" s="3">
        <f>IF(NOT(ISNUMBER($A70)),"",Inputs!$C$17+$A70*Inputs!$E$7/SQRT(Inputs!$E$6^2+Inputs!$E$7^2+Inputs!$E$8^2))</f>
        <v>265.45400000000001</v>
      </c>
      <c r="D70" s="3">
        <f>IF(NOT(ISNUMBER($A70)),"",Inputs!$D$17+$A70*Inputs!$E$8/SQRT(Inputs!$E$6^2+Inputs!$E$7^2+Inputs!$E$8^2))</f>
        <v>182.18899999999999</v>
      </c>
      <c r="E70" s="3">
        <f>IF(NOT(ISNUMBER($A70)),"",Inputs!$B$15+Geometry!$B$15-B70)</f>
        <v>-24.932661268328502</v>
      </c>
      <c r="F70" s="3">
        <f>IF(NOT(ISNUMBER($A70)),"",Inputs!$C$15+Geometry!$B$16-C70)</f>
        <v>175.76798447238372</v>
      </c>
      <c r="G70" s="3">
        <f>IF(NOT(ISNUMBER($A70)),"",Inputs!$D$15+Geometry!$B$17-D70)</f>
        <v>11.015351937228701</v>
      </c>
      <c r="H70" s="3">
        <f>IF(NOT(ISNUMBER($A70)),"",2*(E70*Geometry!$B$18+F70*Geometry!$B$19+G70*Geometry!$B$20))</f>
        <v>6709.7194268037056</v>
      </c>
      <c r="I70" s="3">
        <f>IF(NOT(ISNUMBER($A70)),"",2*(E70*Geometry!$B$21+F70*Geometry!$B$22+G70*Geometry!$B$23))</f>
        <v>52902.030226094095</v>
      </c>
      <c r="J70" s="3">
        <f>IF(NOT(ISNUMBER($A70)),"",Geometry!$B$24^2-(E70^2+F70^2+G70^2)-(Geometry!$B$18^2+Geometry!$B$19^2+Geometry!$B$20^2))</f>
        <v>10202.471426803721</v>
      </c>
      <c r="K70" s="3">
        <f t="shared" si="20"/>
        <v>53325.839297933235</v>
      </c>
      <c r="L70" s="3">
        <f t="shared" si="21"/>
        <v>0.19132322268388827</v>
      </c>
      <c r="M70" s="3">
        <f t="shared" si="22"/>
        <v>1.4446370114662592</v>
      </c>
      <c r="N70" s="3">
        <f t="shared" si="23"/>
        <v>1.3782862304348411</v>
      </c>
      <c r="O70" s="3">
        <f>IF(M70="","",MOD(M70+Geometry!$B$47*N70+PI(),2*PI())-PI())</f>
        <v>6.6350781031418116E-2</v>
      </c>
      <c r="P70" s="3" t="b">
        <f t="shared" si="24"/>
        <v>1</v>
      </c>
      <c r="Q70" s="3">
        <f>IF(P70=FALSE,"",IF((Geometry!$B$28*COS(O70)+Geometry!$B$32*SIN(O70)+Geometry!$B$8*Geometry!$B$30*(1-COS(O70)))&gt;=0,1,-1)*ACOS(MAX(-1,MIN(1,(Geometry!$B$27*COS(O70)+Geometry!$B$31*SIN(O70)+Geometry!$B$7*Geometry!$B$30*(1-COS(O70)))/SQRT((Geometry!$B$27*COS(O70)+Geometry!$B$31*SIN(O70)+Geometry!$B$7*Geometry!$B$30*(1-COS(O70)))^2+(Geometry!$B$28*COS(O70)+Geometry!$B$32*SIN(O70)+Geometry!$B$8*Geometry!$B$30*(1-COS(O70)))^2))))*180/PI())</f>
        <v>3.7331478794671695</v>
      </c>
      <c r="R70" s="3">
        <f>IF(NOT(ISNUMBER($A70)),"",Inputs!$B$21+$A70*Inputs!$E$6/SQRT(Inputs!$E$6^2+Inputs!$E$7^2+Inputs!$E$8^2))</f>
        <v>919.87300000000005</v>
      </c>
      <c r="S70" s="3">
        <f>IF(NOT(ISNUMBER($A70)),"",Inputs!$C$21+$A70*Inputs!$E$7/SQRT(Inputs!$E$6^2+Inputs!$E$7^2+Inputs!$E$8^2))</f>
        <v>-249.45400000000001</v>
      </c>
      <c r="T70" s="3">
        <f>IF(NOT(ISNUMBER($A70)),"",Inputs!$D$21+$A70*Inputs!$E$8/SQRT(Inputs!$E$6^2+Inputs!$E$7^2+Inputs!$E$8^2))</f>
        <v>182.18899999999999</v>
      </c>
      <c r="U70" s="3">
        <f>IF(NOT(ISNUMBER($A70)),"",Inputs!$B$19+Geometry!$C$15-R70)</f>
        <v>-24.932661268328502</v>
      </c>
      <c r="V70" s="3">
        <f>IF(NOT(ISNUMBER($A70)),"",Inputs!$C$19+Geometry!$C$16-S70)</f>
        <v>-191.76798447238372</v>
      </c>
      <c r="W70" s="3">
        <f>IF(NOT(ISNUMBER($A70)),"",Inputs!$D$19+Geometry!$C$17-T70)</f>
        <v>11.015351937228701</v>
      </c>
      <c r="X70" s="3">
        <f>IF(NOT(ISNUMBER($A70)),"",2*(U70*Geometry!$C$18+V70*Geometry!$C$19+W70*Geometry!$C$20))</f>
        <v>7942.6479236874256</v>
      </c>
      <c r="Y70" s="3">
        <f>IF(NOT(ISNUMBER($A70)),"",2*(U70*Geometry!$C$21+V70*Geometry!$C$22+W70*Geometry!$C$23))</f>
        <v>-57485.74805881572</v>
      </c>
      <c r="Z70" s="3">
        <f>IF(NOT(ISNUMBER($A70)),"",Geometry!$C$24^2-(U70^2+V70^2+W70^2)-(Geometry!$C$18^2+Geometry!$C$19^2+Geometry!$C$20^2))</f>
        <v>4321.8959236874362</v>
      </c>
      <c r="AA70" s="3">
        <f t="shared" si="25"/>
        <v>58031.860955179538</v>
      </c>
      <c r="AB70" s="3">
        <f t="shared" si="26"/>
        <v>7.4474536100529662E-2</v>
      </c>
      <c r="AC70" s="3">
        <f t="shared" si="27"/>
        <v>-1.4334983510567705</v>
      </c>
      <c r="AD70" s="3">
        <f t="shared" si="28"/>
        <v>1.4962527733315947</v>
      </c>
      <c r="AE70" s="3">
        <f>IF(AC70="","",MOD(AC70+Geometry!$C$47*AD70+PI(),2*PI())-PI())</f>
        <v>6.2754422274823973E-2</v>
      </c>
      <c r="AF70" s="3" t="b">
        <f t="shared" si="29"/>
        <v>1</v>
      </c>
      <c r="AG70" s="3">
        <f>IF(AF70=FALSE,"",IF((Geometry!$C$28*COS(AE70)+Geometry!$C$32*SIN(AE70)+Geometry!$C$8*Geometry!$C$30*(1-COS(AE70)))&gt;=0,1,-1)*ACOS(MAX(-1,MIN(1,(Geometry!$C$27*COS(AE70)+Geometry!$C$31*SIN(AE70)+Geometry!$C$7*Geometry!$C$30*(1-COS(AE70)))/SQRT((Geometry!$C$27*COS(AE70)+Geometry!$C$31*SIN(AE70)+Geometry!$C$7*Geometry!$C$30*(1-COS(AE70)))^2+(Geometry!$C$28*COS(AE70)+Geometry!$C$32*SIN(AE70)+Geometry!$C$8*Geometry!$C$30*(1-COS(AE70)))^2))))*180/PI())</f>
        <v>3.5279040725010407</v>
      </c>
    </row>
    <row r="71" spans="1:33">
      <c r="A71" s="3">
        <f>IF(Inputs!$E$9+69*Inputs!$E$11&lt;=Inputs!$E$10,Inputs!$E$9+69*Inputs!$E$11,"")</f>
        <v>9</v>
      </c>
      <c r="B71" s="3">
        <f>IF(NOT(ISNUMBER($A71)),"",Inputs!$B$17+$A71*Inputs!$E$6/SQRT(Inputs!$E$6^2+Inputs!$E$7^2+Inputs!$E$8^2))</f>
        <v>919.87300000000005</v>
      </c>
      <c r="C71" s="3">
        <f>IF(NOT(ISNUMBER($A71)),"",Inputs!$C$17+$A71*Inputs!$E$7/SQRT(Inputs!$E$6^2+Inputs!$E$7^2+Inputs!$E$8^2))</f>
        <v>266.45400000000001</v>
      </c>
      <c r="D71" s="3">
        <f>IF(NOT(ISNUMBER($A71)),"",Inputs!$D$17+$A71*Inputs!$E$8/SQRT(Inputs!$E$6^2+Inputs!$E$7^2+Inputs!$E$8^2))</f>
        <v>182.18899999999999</v>
      </c>
      <c r="E71" s="3">
        <f>IF(NOT(ISNUMBER($A71)),"",Inputs!$B$15+Geometry!$B$15-B71)</f>
        <v>-24.932661268328502</v>
      </c>
      <c r="F71" s="3">
        <f>IF(NOT(ISNUMBER($A71)),"",Inputs!$C$15+Geometry!$B$16-C71)</f>
        <v>174.76798447238372</v>
      </c>
      <c r="G71" s="3">
        <f>IF(NOT(ISNUMBER($A71)),"",Inputs!$D$15+Geometry!$B$17-D71)</f>
        <v>11.015351937228701</v>
      </c>
      <c r="H71" s="3">
        <f>IF(NOT(ISNUMBER($A71)),"",2*(E71*Geometry!$B$18+F71*Geometry!$B$19+G71*Geometry!$B$20))</f>
        <v>6632.6613957484733</v>
      </c>
      <c r="I71" s="3">
        <f>IF(NOT(ISNUMBER($A71)),"",2*(E71*Geometry!$B$21+F71*Geometry!$B$22+G71*Geometry!$B$23))</f>
        <v>52615.547861548992</v>
      </c>
      <c r="J71" s="3">
        <f>IF(NOT(ISNUMBER($A71)),"",Geometry!$B$24^2-(E71^2+F71^2+G71^2)-(Geometry!$B$18^2+Geometry!$B$19^2+Geometry!$B$20^2))</f>
        <v>10553.007395748486</v>
      </c>
      <c r="K71" s="3">
        <f t="shared" si="20"/>
        <v>53031.953329682328</v>
      </c>
      <c r="L71" s="3">
        <f t="shared" si="21"/>
        <v>0.19899337537397285</v>
      </c>
      <c r="M71" s="3">
        <f t="shared" si="22"/>
        <v>1.4453987973421993</v>
      </c>
      <c r="N71" s="3">
        <f t="shared" si="23"/>
        <v>1.3704656804366744</v>
      </c>
      <c r="O71" s="3">
        <f>IF(M71="","",MOD(M71+Geometry!$B$47*N71+PI(),2*PI())-PI())</f>
        <v>7.4933116905524955E-2</v>
      </c>
      <c r="P71" s="3" t="b">
        <f t="shared" si="24"/>
        <v>1</v>
      </c>
      <c r="Q71" s="3">
        <f>IF(P71=FALSE,"",IF((Geometry!$B$28*COS(O71)+Geometry!$B$32*SIN(O71)+Geometry!$B$8*Geometry!$B$30*(1-COS(O71)))&gt;=0,1,-1)*ACOS(MAX(-1,MIN(1,(Geometry!$B$27*COS(O71)+Geometry!$B$31*SIN(O71)+Geometry!$B$7*Geometry!$B$30*(1-COS(O71)))/SQRT((Geometry!$B$27*COS(O71)+Geometry!$B$31*SIN(O71)+Geometry!$B$7*Geometry!$B$30*(1-COS(O71)))^2+(Geometry!$B$28*COS(O71)+Geometry!$B$32*SIN(O71)+Geometry!$B$8*Geometry!$B$30*(1-COS(O71)))^2))))*180/PI())</f>
        <v>4.2163000377466764</v>
      </c>
      <c r="R71" s="3">
        <f>IF(NOT(ISNUMBER($A71)),"",Inputs!$B$21+$A71*Inputs!$E$6/SQRT(Inputs!$E$6^2+Inputs!$E$7^2+Inputs!$E$8^2))</f>
        <v>919.87300000000005</v>
      </c>
      <c r="S71" s="3">
        <f>IF(NOT(ISNUMBER($A71)),"",Inputs!$C$21+$A71*Inputs!$E$7/SQRT(Inputs!$E$6^2+Inputs!$E$7^2+Inputs!$E$8^2))</f>
        <v>-248.45400000000001</v>
      </c>
      <c r="T71" s="3">
        <f>IF(NOT(ISNUMBER($A71)),"",Inputs!$D$21+$A71*Inputs!$E$8/SQRT(Inputs!$E$6^2+Inputs!$E$7^2+Inputs!$E$8^2))</f>
        <v>182.18899999999999</v>
      </c>
      <c r="U71" s="3">
        <f>IF(NOT(ISNUMBER($A71)),"",Inputs!$B$19+Geometry!$C$15-R71)</f>
        <v>-24.932661268328502</v>
      </c>
      <c r="V71" s="3">
        <f>IF(NOT(ISNUMBER($A71)),"",Inputs!$C$19+Geometry!$C$16-S71)</f>
        <v>-192.76798447238372</v>
      </c>
      <c r="W71" s="3">
        <f>IF(NOT(ISNUMBER($A71)),"",Inputs!$D$19+Geometry!$C$17-T71)</f>
        <v>11.015351937228701</v>
      </c>
      <c r="X71" s="3">
        <f>IF(NOT(ISNUMBER($A71)),"",2*(U71*Geometry!$C$18+V71*Geometry!$C$19+W71*Geometry!$C$20))</f>
        <v>8019.7059547426579</v>
      </c>
      <c r="Y71" s="3">
        <f>IF(NOT(ISNUMBER($A71)),"",2*(U71*Geometry!$C$21+V71*Geometry!$C$22+W71*Geometry!$C$23))</f>
        <v>-57772.230423360823</v>
      </c>
      <c r="Z71" s="3">
        <f>IF(NOT(ISNUMBER($A71)),"",Geometry!$C$24^2-(U71^2+V71^2+W71^2)-(Geometry!$C$18^2+Geometry!$C$19^2+Geometry!$C$20^2))</f>
        <v>3937.3599547426711</v>
      </c>
      <c r="AA71" s="3">
        <f t="shared" si="25"/>
        <v>58326.205874293184</v>
      </c>
      <c r="AB71" s="3">
        <f t="shared" si="26"/>
        <v>6.7505847426945889E-2</v>
      </c>
      <c r="AC71" s="3">
        <f t="shared" si="27"/>
        <v>-1.4328618809617613</v>
      </c>
      <c r="AD71" s="3">
        <f t="shared" si="28"/>
        <v>1.5032391028069823</v>
      </c>
      <c r="AE71" s="3">
        <f>IF(AC71="","",MOD(AC71+Geometry!$C$47*AD71+PI(),2*PI())-PI())</f>
        <v>7.0377221845220994E-2</v>
      </c>
      <c r="AF71" s="3" t="b">
        <f t="shared" si="29"/>
        <v>1</v>
      </c>
      <c r="AG71" s="3">
        <f>IF(AF71=FALSE,"",IF((Geometry!$C$28*COS(AE71)+Geometry!$C$32*SIN(AE71)+Geometry!$C$8*Geometry!$C$30*(1-COS(AE71)))&gt;=0,1,-1)*ACOS(MAX(-1,MIN(1,(Geometry!$C$27*COS(AE71)+Geometry!$C$31*SIN(AE71)+Geometry!$C$7*Geometry!$C$30*(1-COS(AE71)))/SQRT((Geometry!$C$27*COS(AE71)+Geometry!$C$31*SIN(AE71)+Geometry!$C$7*Geometry!$C$30*(1-COS(AE71)))^2+(Geometry!$C$28*COS(AE71)+Geometry!$C$32*SIN(AE71)+Geometry!$C$8*Geometry!$C$30*(1-COS(AE71)))^2))))*180/PI())</f>
        <v>3.9562888678213288</v>
      </c>
    </row>
    <row r="72" spans="1:33">
      <c r="A72" s="3">
        <f>IF(Inputs!$E$9+70*Inputs!$E$11&lt;=Inputs!$E$10,Inputs!$E$9+70*Inputs!$E$11,"")</f>
        <v>10</v>
      </c>
      <c r="B72" s="3">
        <f>IF(NOT(ISNUMBER($A72)),"",Inputs!$B$17+$A72*Inputs!$E$6/SQRT(Inputs!$E$6^2+Inputs!$E$7^2+Inputs!$E$8^2))</f>
        <v>919.87300000000005</v>
      </c>
      <c r="C72" s="3">
        <f>IF(NOT(ISNUMBER($A72)),"",Inputs!$C$17+$A72*Inputs!$E$7/SQRT(Inputs!$E$6^2+Inputs!$E$7^2+Inputs!$E$8^2))</f>
        <v>267.45400000000001</v>
      </c>
      <c r="D72" s="3">
        <f>IF(NOT(ISNUMBER($A72)),"",Inputs!$D$17+$A72*Inputs!$E$8/SQRT(Inputs!$E$6^2+Inputs!$E$7^2+Inputs!$E$8^2))</f>
        <v>182.18899999999999</v>
      </c>
      <c r="E72" s="3">
        <f>IF(NOT(ISNUMBER($A72)),"",Inputs!$B$15+Geometry!$B$15-B72)</f>
        <v>-24.932661268328502</v>
      </c>
      <c r="F72" s="3">
        <f>IF(NOT(ISNUMBER($A72)),"",Inputs!$C$15+Geometry!$B$16-C72)</f>
        <v>173.76798447238372</v>
      </c>
      <c r="G72" s="3">
        <f>IF(NOT(ISNUMBER($A72)),"",Inputs!$D$15+Geometry!$B$17-D72)</f>
        <v>11.015351937228701</v>
      </c>
      <c r="H72" s="3">
        <f>IF(NOT(ISNUMBER($A72)),"",2*(E72*Geometry!$B$18+F72*Geometry!$B$19+G72*Geometry!$B$20))</f>
        <v>6555.603364693241</v>
      </c>
      <c r="I72" s="3">
        <f>IF(NOT(ISNUMBER($A72)),"",2*(E72*Geometry!$B$21+F72*Geometry!$B$22+G72*Geometry!$B$23))</f>
        <v>52329.065497003889</v>
      </c>
      <c r="J72" s="3">
        <f>IF(NOT(ISNUMBER($A72)),"",Geometry!$B$24^2-(E72^2+F72^2+G72^2)-(Geometry!$B$18^2+Geometry!$B$19^2+Geometry!$B$20^2))</f>
        <v>10901.543364693251</v>
      </c>
      <c r="K72" s="3">
        <f t="shared" si="20"/>
        <v>52738.098479798267</v>
      </c>
      <c r="L72" s="3">
        <f t="shared" si="21"/>
        <v>0.20671096757250682</v>
      </c>
      <c r="M72" s="3">
        <f t="shared" si="22"/>
        <v>1.4461690729580985</v>
      </c>
      <c r="N72" s="3">
        <f t="shared" si="23"/>
        <v>1.3625842048742638</v>
      </c>
      <c r="O72" s="3">
        <f>IF(M72="","",MOD(M72+Geometry!$B$47*N72+PI(),2*PI())-PI())</f>
        <v>8.3584868083834696E-2</v>
      </c>
      <c r="P72" s="3" t="b">
        <f t="shared" si="24"/>
        <v>1</v>
      </c>
      <c r="Q72" s="3">
        <f>IF(P72=FALSE,"",IF((Geometry!$B$28*COS(O72)+Geometry!$B$32*SIN(O72)+Geometry!$B$8*Geometry!$B$30*(1-COS(O72)))&gt;=0,1,-1)*ACOS(MAX(-1,MIN(1,(Geometry!$B$27*COS(O72)+Geometry!$B$31*SIN(O72)+Geometry!$B$7*Geometry!$B$30*(1-COS(O72)))/SQRT((Geometry!$B$27*COS(O72)+Geometry!$B$31*SIN(O72)+Geometry!$B$7*Geometry!$B$30*(1-COS(O72)))^2+(Geometry!$B$28*COS(O72)+Geometry!$B$32*SIN(O72)+Geometry!$B$8*Geometry!$B$30*(1-COS(O72)))^2))))*180/PI())</f>
        <v>4.7034305307106115</v>
      </c>
      <c r="R72" s="3">
        <f>IF(NOT(ISNUMBER($A72)),"",Inputs!$B$21+$A72*Inputs!$E$6/SQRT(Inputs!$E$6^2+Inputs!$E$7^2+Inputs!$E$8^2))</f>
        <v>919.87300000000005</v>
      </c>
      <c r="S72" s="3">
        <f>IF(NOT(ISNUMBER($A72)),"",Inputs!$C$21+$A72*Inputs!$E$7/SQRT(Inputs!$E$6^2+Inputs!$E$7^2+Inputs!$E$8^2))</f>
        <v>-247.45400000000001</v>
      </c>
      <c r="T72" s="3">
        <f>IF(NOT(ISNUMBER($A72)),"",Inputs!$D$21+$A72*Inputs!$E$8/SQRT(Inputs!$E$6^2+Inputs!$E$7^2+Inputs!$E$8^2))</f>
        <v>182.18899999999999</v>
      </c>
      <c r="U72" s="3">
        <f>IF(NOT(ISNUMBER($A72)),"",Inputs!$B$19+Geometry!$C$15-R72)</f>
        <v>-24.932661268328502</v>
      </c>
      <c r="V72" s="3">
        <f>IF(NOT(ISNUMBER($A72)),"",Inputs!$C$19+Geometry!$C$16-S72)</f>
        <v>-193.76798447238372</v>
      </c>
      <c r="W72" s="3">
        <f>IF(NOT(ISNUMBER($A72)),"",Inputs!$D$19+Geometry!$C$17-T72)</f>
        <v>11.015351937228701</v>
      </c>
      <c r="X72" s="3">
        <f>IF(NOT(ISNUMBER($A72)),"",2*(U72*Geometry!$C$18+V72*Geometry!$C$19+W72*Geometry!$C$20))</f>
        <v>8096.763985797892</v>
      </c>
      <c r="Y72" s="3">
        <f>IF(NOT(ISNUMBER($A72)),"",2*(U72*Geometry!$C$21+V72*Geometry!$C$22+W72*Geometry!$C$23))</f>
        <v>-58058.712787905926</v>
      </c>
      <c r="Z72" s="3">
        <f>IF(NOT(ISNUMBER($A72)),"",Geometry!$C$24^2-(U72^2+V72^2+W72^2)-(Geometry!$C$18^2+Geometry!$C$19^2+Geometry!$C$20^2))</f>
        <v>3550.8239857978988</v>
      </c>
      <c r="AA72" s="3">
        <f t="shared" si="25"/>
        <v>58620.57418373062</v>
      </c>
      <c r="AB72" s="3">
        <f t="shared" si="26"/>
        <v>6.0572999074843314E-2</v>
      </c>
      <c r="AC72" s="3">
        <f t="shared" si="27"/>
        <v>-1.4322318027934702</v>
      </c>
      <c r="AD72" s="3">
        <f t="shared" si="28"/>
        <v>1.5101862251481466</v>
      </c>
      <c r="AE72" s="3">
        <f>IF(AC72="","",MOD(AC72+Geometry!$C$47*AD72+PI(),2*PI())-PI())</f>
        <v>7.7954422354676645E-2</v>
      </c>
      <c r="AF72" s="3" t="b">
        <f t="shared" si="29"/>
        <v>1</v>
      </c>
      <c r="AG72" s="3">
        <f>IF(AF72=FALSE,"",IF((Geometry!$C$28*COS(AE72)+Geometry!$C$32*SIN(AE72)+Geometry!$C$8*Geometry!$C$30*(1-COS(AE72)))&gt;=0,1,-1)*ACOS(MAX(-1,MIN(1,(Geometry!$C$27*COS(AE72)+Geometry!$C$31*SIN(AE72)+Geometry!$C$7*Geometry!$C$30*(1-COS(AE72)))/SQRT((Geometry!$C$27*COS(AE72)+Geometry!$C$31*SIN(AE72)+Geometry!$C$7*Geometry!$C$30*(1-COS(AE72)))^2+(Geometry!$C$28*COS(AE72)+Geometry!$C$32*SIN(AE72)+Geometry!$C$8*Geometry!$C$30*(1-COS(AE72)))^2))))*180/PI())</f>
        <v>4.3820839826230813</v>
      </c>
    </row>
    <row r="73" spans="1:33">
      <c r="A73" s="3">
        <f>IF(Inputs!$E$9+71*Inputs!$E$11&lt;=Inputs!$E$10,Inputs!$E$9+71*Inputs!$E$11,"")</f>
        <v>11</v>
      </c>
      <c r="B73" s="3">
        <f>IF(NOT(ISNUMBER($A73)),"",Inputs!$B$17+$A73*Inputs!$E$6/SQRT(Inputs!$E$6^2+Inputs!$E$7^2+Inputs!$E$8^2))</f>
        <v>919.87300000000005</v>
      </c>
      <c r="C73" s="3">
        <f>IF(NOT(ISNUMBER($A73)),"",Inputs!$C$17+$A73*Inputs!$E$7/SQRT(Inputs!$E$6^2+Inputs!$E$7^2+Inputs!$E$8^2))</f>
        <v>268.45400000000001</v>
      </c>
      <c r="D73" s="3">
        <f>IF(NOT(ISNUMBER($A73)),"",Inputs!$D$17+$A73*Inputs!$E$8/SQRT(Inputs!$E$6^2+Inputs!$E$7^2+Inputs!$E$8^2))</f>
        <v>182.18899999999999</v>
      </c>
      <c r="E73" s="3">
        <f>IF(NOT(ISNUMBER($A73)),"",Inputs!$B$15+Geometry!$B$15-B73)</f>
        <v>-24.932661268328502</v>
      </c>
      <c r="F73" s="3">
        <f>IF(NOT(ISNUMBER($A73)),"",Inputs!$C$15+Geometry!$B$16-C73)</f>
        <v>172.76798447238372</v>
      </c>
      <c r="G73" s="3">
        <f>IF(NOT(ISNUMBER($A73)),"",Inputs!$D$15+Geometry!$B$17-D73)</f>
        <v>11.015351937228701</v>
      </c>
      <c r="H73" s="3">
        <f>IF(NOT(ISNUMBER($A73)),"",2*(E73*Geometry!$B$18+F73*Geometry!$B$19+G73*Geometry!$B$20))</f>
        <v>6478.5453336380087</v>
      </c>
      <c r="I73" s="3">
        <f>IF(NOT(ISNUMBER($A73)),"",2*(E73*Geometry!$B$21+F73*Geometry!$B$22+G73*Geometry!$B$23))</f>
        <v>52042.583132458785</v>
      </c>
      <c r="J73" s="3">
        <f>IF(NOT(ISNUMBER($A73)),"",Geometry!$B$24^2-(E73^2+F73^2+G73^2)-(Geometry!$B$18^2+Geometry!$B$19^2+Geometry!$B$20^2))</f>
        <v>11248.079333638016</v>
      </c>
      <c r="K73" s="3">
        <f t="shared" si="20"/>
        <v>52444.275271366714</v>
      </c>
      <c r="L73" s="3">
        <f t="shared" si="21"/>
        <v>0.21447678083901733</v>
      </c>
      <c r="M73" s="3">
        <f t="shared" si="22"/>
        <v>1.4469479801008329</v>
      </c>
      <c r="N73" s="3">
        <f t="shared" si="23"/>
        <v>1.3546402135291198</v>
      </c>
      <c r="O73" s="3">
        <f>IF(M73="","",MOD(M73+Geometry!$B$47*N73+PI(),2*PI())-PI())</f>
        <v>9.2307766571713135E-2</v>
      </c>
      <c r="P73" s="3" t="b">
        <f t="shared" si="24"/>
        <v>1</v>
      </c>
      <c r="Q73" s="3">
        <f>IF(P73=FALSE,"",IF((Geometry!$B$28*COS(O73)+Geometry!$B$32*SIN(O73)+Geometry!$B$8*Geometry!$B$30*(1-COS(O73)))&gt;=0,1,-1)*ACOS(MAX(-1,MIN(1,(Geometry!$B$27*COS(O73)+Geometry!$B$31*SIN(O73)+Geometry!$B$7*Geometry!$B$30*(1-COS(O73)))/SQRT((Geometry!$B$27*COS(O73)+Geometry!$B$31*SIN(O73)+Geometry!$B$7*Geometry!$B$30*(1-COS(O73)))^2+(Geometry!$B$28*COS(O73)+Geometry!$B$32*SIN(O73)+Geometry!$B$8*Geometry!$B$30*(1-COS(O73)))^2))))*180/PI())</f>
        <v>5.1946404938103337</v>
      </c>
      <c r="R73" s="3">
        <f>IF(NOT(ISNUMBER($A73)),"",Inputs!$B$21+$A73*Inputs!$E$6/SQRT(Inputs!$E$6^2+Inputs!$E$7^2+Inputs!$E$8^2))</f>
        <v>919.87300000000005</v>
      </c>
      <c r="S73" s="3">
        <f>IF(NOT(ISNUMBER($A73)),"",Inputs!$C$21+$A73*Inputs!$E$7/SQRT(Inputs!$E$6^2+Inputs!$E$7^2+Inputs!$E$8^2))</f>
        <v>-246.45400000000001</v>
      </c>
      <c r="T73" s="3">
        <f>IF(NOT(ISNUMBER($A73)),"",Inputs!$D$21+$A73*Inputs!$E$8/SQRT(Inputs!$E$6^2+Inputs!$E$7^2+Inputs!$E$8^2))</f>
        <v>182.18899999999999</v>
      </c>
      <c r="U73" s="3">
        <f>IF(NOT(ISNUMBER($A73)),"",Inputs!$B$19+Geometry!$C$15-R73)</f>
        <v>-24.932661268328502</v>
      </c>
      <c r="V73" s="3">
        <f>IF(NOT(ISNUMBER($A73)),"",Inputs!$C$19+Geometry!$C$16-S73)</f>
        <v>-194.76798447238372</v>
      </c>
      <c r="W73" s="3">
        <f>IF(NOT(ISNUMBER($A73)),"",Inputs!$D$19+Geometry!$C$17-T73)</f>
        <v>11.015351937228701</v>
      </c>
      <c r="X73" s="3">
        <f>IF(NOT(ISNUMBER($A73)),"",2*(U73*Geometry!$C$18+V73*Geometry!$C$19+W73*Geometry!$C$20))</f>
        <v>8173.8220168531243</v>
      </c>
      <c r="Y73" s="3">
        <f>IF(NOT(ISNUMBER($A73)),"",2*(U73*Geometry!$C$21+V73*Geometry!$C$22+W73*Geometry!$C$23))</f>
        <v>-58345.19515245103</v>
      </c>
      <c r="Z73" s="3">
        <f>IF(NOT(ISNUMBER($A73)),"",Geometry!$C$24^2-(U73^2+V73^2+W73^2)-(Geometry!$C$18^2+Geometry!$C$19^2+Geometry!$C$20^2))</f>
        <v>3162.2880168531337</v>
      </c>
      <c r="AA73" s="3">
        <f t="shared" si="25"/>
        <v>58914.965532882969</v>
      </c>
      <c r="AB73" s="3">
        <f t="shared" si="26"/>
        <v>5.3675462393135497E-2</v>
      </c>
      <c r="AC73" s="3">
        <f t="shared" si="27"/>
        <v>-1.4316080212367825</v>
      </c>
      <c r="AD73" s="3">
        <f t="shared" si="28"/>
        <v>1.5170950572672015</v>
      </c>
      <c r="AE73" s="3">
        <f>IF(AC73="","",MOD(AC73+Geometry!$C$47*AD73+PI(),2*PI())-PI())</f>
        <v>8.5487036030419183E-2</v>
      </c>
      <c r="AF73" s="3" t="b">
        <f t="shared" si="29"/>
        <v>1</v>
      </c>
      <c r="AG73" s="3">
        <f>IF(AF73=FALSE,"",IF((Geometry!$C$28*COS(AE73)+Geometry!$C$32*SIN(AE73)+Geometry!$C$8*Geometry!$C$30*(1-COS(AE73)))&gt;=0,1,-1)*ACOS(MAX(-1,MIN(1,(Geometry!$C$27*COS(AE73)+Geometry!$C$31*SIN(AE73)+Geometry!$C$7*Geometry!$C$30*(1-COS(AE73)))/SQRT((Geometry!$C$27*COS(AE73)+Geometry!$C$31*SIN(AE73)+Geometry!$C$7*Geometry!$C$30*(1-COS(AE73)))^2+(Geometry!$C$28*COS(AE73)+Geometry!$C$32*SIN(AE73)+Geometry!$C$8*Geometry!$C$30*(1-COS(AE73)))^2))))*180/PI())</f>
        <v>4.8053483362141796</v>
      </c>
    </row>
    <row r="74" spans="1:33">
      <c r="A74" s="3">
        <f>IF(Inputs!$E$9+72*Inputs!$E$11&lt;=Inputs!$E$10,Inputs!$E$9+72*Inputs!$E$11,"")</f>
        <v>12</v>
      </c>
      <c r="B74" s="3">
        <f>IF(NOT(ISNUMBER($A74)),"",Inputs!$B$17+$A74*Inputs!$E$6/SQRT(Inputs!$E$6^2+Inputs!$E$7^2+Inputs!$E$8^2))</f>
        <v>919.87300000000005</v>
      </c>
      <c r="C74" s="3">
        <f>IF(NOT(ISNUMBER($A74)),"",Inputs!$C$17+$A74*Inputs!$E$7/SQRT(Inputs!$E$6^2+Inputs!$E$7^2+Inputs!$E$8^2))</f>
        <v>269.45400000000001</v>
      </c>
      <c r="D74" s="3">
        <f>IF(NOT(ISNUMBER($A74)),"",Inputs!$D$17+$A74*Inputs!$E$8/SQRT(Inputs!$E$6^2+Inputs!$E$7^2+Inputs!$E$8^2))</f>
        <v>182.18899999999999</v>
      </c>
      <c r="E74" s="3">
        <f>IF(NOT(ISNUMBER($A74)),"",Inputs!$B$15+Geometry!$B$15-B74)</f>
        <v>-24.932661268328502</v>
      </c>
      <c r="F74" s="3">
        <f>IF(NOT(ISNUMBER($A74)),"",Inputs!$C$15+Geometry!$B$16-C74)</f>
        <v>171.76798447238372</v>
      </c>
      <c r="G74" s="3">
        <f>IF(NOT(ISNUMBER($A74)),"",Inputs!$D$15+Geometry!$B$17-D74)</f>
        <v>11.015351937228701</v>
      </c>
      <c r="H74" s="3">
        <f>IF(NOT(ISNUMBER($A74)),"",2*(E74*Geometry!$B$18+F74*Geometry!$B$19+G74*Geometry!$B$20))</f>
        <v>6401.4873025827765</v>
      </c>
      <c r="I74" s="3">
        <f>IF(NOT(ISNUMBER($A74)),"",2*(E74*Geometry!$B$21+F74*Geometry!$B$22+G74*Geometry!$B$23))</f>
        <v>51756.100767913689</v>
      </c>
      <c r="J74" s="3">
        <f>IF(NOT(ISNUMBER($A74)),"",Geometry!$B$24^2-(E74^2+F74^2+G74^2)-(Geometry!$B$18^2+Geometry!$B$19^2+Geometry!$B$20^2))</f>
        <v>11592.615302582781</v>
      </c>
      <c r="K74" s="3">
        <f t="shared" si="20"/>
        <v>52150.484239204954</v>
      </c>
      <c r="L74" s="3">
        <f t="shared" si="21"/>
        <v>0.22229161381147539</v>
      </c>
      <c r="M74" s="3">
        <f t="shared" si="22"/>
        <v>1.4477356637109382</v>
      </c>
      <c r="N74" s="3">
        <f t="shared" si="23"/>
        <v>1.3466320627665933</v>
      </c>
      <c r="O74" s="3">
        <f>IF(M74="","",MOD(M74+Geometry!$B$47*N74+PI(),2*PI())-PI())</f>
        <v>0.10110360094434512</v>
      </c>
      <c r="P74" s="3" t="b">
        <f t="shared" si="24"/>
        <v>1</v>
      </c>
      <c r="Q74" s="3">
        <f>IF(P74=FALSE,"",IF((Geometry!$B$28*COS(O74)+Geometry!$B$32*SIN(O74)+Geometry!$B$8*Geometry!$B$30*(1-COS(O74)))&gt;=0,1,-1)*ACOS(MAX(-1,MIN(1,(Geometry!$B$27*COS(O74)+Geometry!$B$31*SIN(O74)+Geometry!$B$7*Geometry!$B$30*(1-COS(O74)))/SQRT((Geometry!$B$27*COS(O74)+Geometry!$B$31*SIN(O74)+Geometry!$B$7*Geometry!$B$30*(1-COS(O74)))^2+(Geometry!$B$28*COS(O74)+Geometry!$B$32*SIN(O74)+Geometry!$B$8*Geometry!$B$30*(1-COS(O74)))^2))))*180/PI())</f>
        <v>5.690034382269058</v>
      </c>
      <c r="R74" s="3">
        <f>IF(NOT(ISNUMBER($A74)),"",Inputs!$B$21+$A74*Inputs!$E$6/SQRT(Inputs!$E$6^2+Inputs!$E$7^2+Inputs!$E$8^2))</f>
        <v>919.87300000000005</v>
      </c>
      <c r="S74" s="3">
        <f>IF(NOT(ISNUMBER($A74)),"",Inputs!$C$21+$A74*Inputs!$E$7/SQRT(Inputs!$E$6^2+Inputs!$E$7^2+Inputs!$E$8^2))</f>
        <v>-245.45400000000001</v>
      </c>
      <c r="T74" s="3">
        <f>IF(NOT(ISNUMBER($A74)),"",Inputs!$D$21+$A74*Inputs!$E$8/SQRT(Inputs!$E$6^2+Inputs!$E$7^2+Inputs!$E$8^2))</f>
        <v>182.18899999999999</v>
      </c>
      <c r="U74" s="3">
        <f>IF(NOT(ISNUMBER($A74)),"",Inputs!$B$19+Geometry!$C$15-R74)</f>
        <v>-24.932661268328502</v>
      </c>
      <c r="V74" s="3">
        <f>IF(NOT(ISNUMBER($A74)),"",Inputs!$C$19+Geometry!$C$16-S74)</f>
        <v>-195.76798447238372</v>
      </c>
      <c r="W74" s="3">
        <f>IF(NOT(ISNUMBER($A74)),"",Inputs!$D$19+Geometry!$C$17-T74)</f>
        <v>11.015351937228701</v>
      </c>
      <c r="X74" s="3">
        <f>IF(NOT(ISNUMBER($A74)),"",2*(U74*Geometry!$C$18+V74*Geometry!$C$19+W74*Geometry!$C$20))</f>
        <v>8250.8800479083566</v>
      </c>
      <c r="Y74" s="3">
        <f>IF(NOT(ISNUMBER($A74)),"",2*(U74*Geometry!$C$21+V74*Geometry!$C$22+W74*Geometry!$C$23))</f>
        <v>-58631.677516996126</v>
      </c>
      <c r="Z74" s="3">
        <f>IF(NOT(ISNUMBER($A74)),"",Geometry!$C$24^2-(U74^2+V74^2+W74^2)-(Geometry!$C$18^2+Geometry!$C$19^2+Geometry!$C$20^2))</f>
        <v>2771.7520479083687</v>
      </c>
      <c r="AA74" s="3">
        <f t="shared" si="25"/>
        <v>59209.37957808713</v>
      </c>
      <c r="AB74" s="3">
        <f t="shared" si="26"/>
        <v>4.6812718992484931E-2</v>
      </c>
      <c r="AC74" s="3">
        <f t="shared" si="27"/>
        <v>-1.4309904428525486</v>
      </c>
      <c r="AD74" s="3">
        <f t="shared" si="28"/>
        <v>1.5239664931148822</v>
      </c>
      <c r="AE74" s="3">
        <f>IF(AC74="","",MOD(AC74+Geometry!$C$47*AD74+PI(),2*PI())-PI())</f>
        <v>9.2976050262333576E-2</v>
      </c>
      <c r="AF74" s="3" t="b">
        <f t="shared" si="29"/>
        <v>1</v>
      </c>
      <c r="AG74" s="3">
        <f>IF(AF74=FALSE,"",IF((Geometry!$C$28*COS(AE74)+Geometry!$C$32*SIN(AE74)+Geometry!$C$8*Geometry!$C$30*(1-COS(AE74)))&gt;=0,1,-1)*ACOS(MAX(-1,MIN(1,(Geometry!$C$27*COS(AE74)+Geometry!$C$31*SIN(AE74)+Geometry!$C$7*Geometry!$C$30*(1-COS(AE74)))/SQRT((Geometry!$C$27*COS(AE74)+Geometry!$C$31*SIN(AE74)+Geometry!$C$7*Geometry!$C$30*(1-COS(AE74)))^2+(Geometry!$C$28*COS(AE74)+Geometry!$C$32*SIN(AE74)+Geometry!$C$8*Geometry!$C$30*(1-COS(AE74)))^2))))*180/PI())</f>
        <v>5.2261393931706976</v>
      </c>
    </row>
    <row r="75" spans="1:33">
      <c r="A75" s="3">
        <f>IF(Inputs!$E$9+73*Inputs!$E$11&lt;=Inputs!$E$10,Inputs!$E$9+73*Inputs!$E$11,"")</f>
        <v>13</v>
      </c>
      <c r="B75" s="3">
        <f>IF(NOT(ISNUMBER($A75)),"",Inputs!$B$17+$A75*Inputs!$E$6/SQRT(Inputs!$E$6^2+Inputs!$E$7^2+Inputs!$E$8^2))</f>
        <v>919.87300000000005</v>
      </c>
      <c r="C75" s="3">
        <f>IF(NOT(ISNUMBER($A75)),"",Inputs!$C$17+$A75*Inputs!$E$7/SQRT(Inputs!$E$6^2+Inputs!$E$7^2+Inputs!$E$8^2))</f>
        <v>270.45400000000001</v>
      </c>
      <c r="D75" s="3">
        <f>IF(NOT(ISNUMBER($A75)),"",Inputs!$D$17+$A75*Inputs!$E$8/SQRT(Inputs!$E$6^2+Inputs!$E$7^2+Inputs!$E$8^2))</f>
        <v>182.18899999999999</v>
      </c>
      <c r="E75" s="3">
        <f>IF(NOT(ISNUMBER($A75)),"",Inputs!$B$15+Geometry!$B$15-B75)</f>
        <v>-24.932661268328502</v>
      </c>
      <c r="F75" s="3">
        <f>IF(NOT(ISNUMBER($A75)),"",Inputs!$C$15+Geometry!$B$16-C75)</f>
        <v>170.76798447238372</v>
      </c>
      <c r="G75" s="3">
        <f>IF(NOT(ISNUMBER($A75)),"",Inputs!$D$15+Geometry!$B$17-D75)</f>
        <v>11.015351937228701</v>
      </c>
      <c r="H75" s="3">
        <f>IF(NOT(ISNUMBER($A75)),"",2*(E75*Geometry!$B$18+F75*Geometry!$B$19+G75*Geometry!$B$20))</f>
        <v>6324.4292715275442</v>
      </c>
      <c r="I75" s="3">
        <f>IF(NOT(ISNUMBER($A75)),"",2*(E75*Geometry!$B$21+F75*Geometry!$B$22+G75*Geometry!$B$23))</f>
        <v>51469.618403368586</v>
      </c>
      <c r="J75" s="3">
        <f>IF(NOT(ISNUMBER($A75)),"",Geometry!$B$24^2-(E75^2+F75^2+G75^2)-(Geometry!$B$18^2+Geometry!$B$19^2+Geometry!$B$20^2))</f>
        <v>11935.151271527553</v>
      </c>
      <c r="K75" s="3">
        <f t="shared" si="20"/>
        <v>51856.725930190893</v>
      </c>
      <c r="L75" s="3">
        <f t="shared" si="21"/>
        <v>0.23015628266995794</v>
      </c>
      <c r="M75" s="3">
        <f t="shared" si="22"/>
        <v>1.448532271970165</v>
      </c>
      <c r="N75" s="3">
        <f t="shared" si="23"/>
        <v>1.3385580529525833</v>
      </c>
      <c r="O75" s="3">
        <f>IF(M75="","",MOD(M75+Geometry!$B$47*N75+PI(),2*PI())-PI())</f>
        <v>0.10997421901758164</v>
      </c>
      <c r="P75" s="3" t="b">
        <f t="shared" si="24"/>
        <v>1</v>
      </c>
      <c r="Q75" s="3">
        <f>IF(P75=FALSE,"",IF((Geometry!$B$28*COS(O75)+Geometry!$B$32*SIN(O75)+Geometry!$B$8*Geometry!$B$30*(1-COS(O75)))&gt;=0,1,-1)*ACOS(MAX(-1,MIN(1,(Geometry!$B$27*COS(O75)+Geometry!$B$31*SIN(O75)+Geometry!$B$7*Geometry!$B$30*(1-COS(O75)))/SQRT((Geometry!$B$27*COS(O75)+Geometry!$B$31*SIN(O75)+Geometry!$B$7*Geometry!$B$30*(1-COS(O75)))^2+(Geometry!$B$28*COS(O75)+Geometry!$B$32*SIN(O75)+Geometry!$B$8*Geometry!$B$30*(1-COS(O75)))^2))))*180/PI())</f>
        <v>6.1897201278250513</v>
      </c>
      <c r="R75" s="3">
        <f>IF(NOT(ISNUMBER($A75)),"",Inputs!$B$21+$A75*Inputs!$E$6/SQRT(Inputs!$E$6^2+Inputs!$E$7^2+Inputs!$E$8^2))</f>
        <v>919.87300000000005</v>
      </c>
      <c r="S75" s="3">
        <f>IF(NOT(ISNUMBER($A75)),"",Inputs!$C$21+$A75*Inputs!$E$7/SQRT(Inputs!$E$6^2+Inputs!$E$7^2+Inputs!$E$8^2))</f>
        <v>-244.45400000000001</v>
      </c>
      <c r="T75" s="3">
        <f>IF(NOT(ISNUMBER($A75)),"",Inputs!$D$21+$A75*Inputs!$E$8/SQRT(Inputs!$E$6^2+Inputs!$E$7^2+Inputs!$E$8^2))</f>
        <v>182.18899999999999</v>
      </c>
      <c r="U75" s="3">
        <f>IF(NOT(ISNUMBER($A75)),"",Inputs!$B$19+Geometry!$C$15-R75)</f>
        <v>-24.932661268328502</v>
      </c>
      <c r="V75" s="3">
        <f>IF(NOT(ISNUMBER($A75)),"",Inputs!$C$19+Geometry!$C$16-S75)</f>
        <v>-196.76798447238372</v>
      </c>
      <c r="W75" s="3">
        <f>IF(NOT(ISNUMBER($A75)),"",Inputs!$D$19+Geometry!$C$17-T75)</f>
        <v>11.015351937228701</v>
      </c>
      <c r="X75" s="3">
        <f>IF(NOT(ISNUMBER($A75)),"",2*(U75*Geometry!$C$18+V75*Geometry!$C$19+W75*Geometry!$C$20))</f>
        <v>8327.9380789635889</v>
      </c>
      <c r="Y75" s="3">
        <f>IF(NOT(ISNUMBER($A75)),"",2*(U75*Geometry!$C$21+V75*Geometry!$C$22+W75*Geometry!$C$23))</f>
        <v>-58918.159881541229</v>
      </c>
      <c r="Z75" s="3">
        <f>IF(NOT(ISNUMBER($A75)),"",Geometry!$C$24^2-(U75^2+V75^2+W75^2)-(Geometry!$C$18^2+Geometry!$C$19^2+Geometry!$C$20^2))</f>
        <v>2379.2160789635964</v>
      </c>
      <c r="AA75" s="3">
        <f t="shared" si="25"/>
        <v>59503.81598245533</v>
      </c>
      <c r="AB75" s="3">
        <f t="shared" si="26"/>
        <v>3.9984260499614128E-2</v>
      </c>
      <c r="AC75" s="3">
        <f t="shared" si="27"/>
        <v>-1.430378976031897</v>
      </c>
      <c r="AD75" s="3">
        <f t="shared" si="28"/>
        <v>1.530801404543058</v>
      </c>
      <c r="AE75" s="3">
        <f>IF(AC75="","",MOD(AC75+Geometry!$C$47*AD75+PI(),2*PI())-PI())</f>
        <v>0.10042242851116079</v>
      </c>
      <c r="AF75" s="3" t="b">
        <f t="shared" si="29"/>
        <v>1</v>
      </c>
      <c r="AG75" s="3">
        <f>IF(AF75=FALSE,"",IF((Geometry!$C$28*COS(AE75)+Geometry!$C$32*SIN(AE75)+Geometry!$C$8*Geometry!$C$30*(1-COS(AE75)))&gt;=0,1,-1)*ACOS(MAX(-1,MIN(1,(Geometry!$C$27*COS(AE75)+Geometry!$C$31*SIN(AE75)+Geometry!$C$7*Geometry!$C$30*(1-COS(AE75)))/SQRT((Geometry!$C$27*COS(AE75)+Geometry!$C$31*SIN(AE75)+Geometry!$C$7*Geometry!$C$30*(1-COS(AE75)))^2+(Geometry!$C$28*COS(AE75)+Geometry!$C$32*SIN(AE75)+Geometry!$C$8*Geometry!$C$30*(1-COS(AE75)))^2))))*180/PI())</f>
        <v>5.6445132167822827</v>
      </c>
    </row>
    <row r="76" spans="1:33">
      <c r="A76" s="3">
        <f>IF(Inputs!$E$9+74*Inputs!$E$11&lt;=Inputs!$E$10,Inputs!$E$9+74*Inputs!$E$11,"")</f>
        <v>14</v>
      </c>
      <c r="B76" s="3">
        <f>IF(NOT(ISNUMBER($A76)),"",Inputs!$B$17+$A76*Inputs!$E$6/SQRT(Inputs!$E$6^2+Inputs!$E$7^2+Inputs!$E$8^2))</f>
        <v>919.87300000000005</v>
      </c>
      <c r="C76" s="3">
        <f>IF(NOT(ISNUMBER($A76)),"",Inputs!$C$17+$A76*Inputs!$E$7/SQRT(Inputs!$E$6^2+Inputs!$E$7^2+Inputs!$E$8^2))</f>
        <v>271.45400000000001</v>
      </c>
      <c r="D76" s="3">
        <f>IF(NOT(ISNUMBER($A76)),"",Inputs!$D$17+$A76*Inputs!$E$8/SQRT(Inputs!$E$6^2+Inputs!$E$7^2+Inputs!$E$8^2))</f>
        <v>182.18899999999999</v>
      </c>
      <c r="E76" s="3">
        <f>IF(NOT(ISNUMBER($A76)),"",Inputs!$B$15+Geometry!$B$15-B76)</f>
        <v>-24.932661268328502</v>
      </c>
      <c r="F76" s="3">
        <f>IF(NOT(ISNUMBER($A76)),"",Inputs!$C$15+Geometry!$B$16-C76)</f>
        <v>169.76798447238372</v>
      </c>
      <c r="G76" s="3">
        <f>IF(NOT(ISNUMBER($A76)),"",Inputs!$D$15+Geometry!$B$17-D76)</f>
        <v>11.015351937228701</v>
      </c>
      <c r="H76" s="3">
        <f>IF(NOT(ISNUMBER($A76)),"",2*(E76*Geometry!$B$18+F76*Geometry!$B$19+G76*Geometry!$B$20))</f>
        <v>6247.3712404723119</v>
      </c>
      <c r="I76" s="3">
        <f>IF(NOT(ISNUMBER($A76)),"",2*(E76*Geometry!$B$21+F76*Geometry!$B$22+G76*Geometry!$B$23))</f>
        <v>51183.136038823483</v>
      </c>
      <c r="J76" s="3">
        <f>IF(NOT(ISNUMBER($A76)),"",Geometry!$B$24^2-(E76^2+F76^2+G76^2)-(Geometry!$B$18^2+Geometry!$B$19^2+Geometry!$B$20^2))</f>
        <v>12275.687240472325</v>
      </c>
      <c r="K76" s="3">
        <f t="shared" si="20"/>
        <v>51563.000903603272</v>
      </c>
      <c r="L76" s="3">
        <f t="shared" si="21"/>
        <v>0.23807162161530612</v>
      </c>
      <c r="M76" s="3">
        <f t="shared" si="22"/>
        <v>1.4493379563919462</v>
      </c>
      <c r="N76" s="3">
        <f t="shared" si="23"/>
        <v>1.3304164257102098</v>
      </c>
      <c r="O76" s="3">
        <f>IF(M76="","",MOD(M76+Geometry!$B$47*N76+PI(),2*PI())-PI())</f>
        <v>0.11892153068173617</v>
      </c>
      <c r="P76" s="3" t="b">
        <f t="shared" si="24"/>
        <v>1</v>
      </c>
      <c r="Q76" s="3">
        <f>IF(P76=FALSE,"",IF((Geometry!$B$28*COS(O76)+Geometry!$B$32*SIN(O76)+Geometry!$B$8*Geometry!$B$30*(1-COS(O76)))&gt;=0,1,-1)*ACOS(MAX(-1,MIN(1,(Geometry!$B$27*COS(O76)+Geometry!$B$31*SIN(O76)+Geometry!$B$7*Geometry!$B$30*(1-COS(O76)))/SQRT((Geometry!$B$27*COS(O76)+Geometry!$B$31*SIN(O76)+Geometry!$B$7*Geometry!$B$30*(1-COS(O76)))^2+(Geometry!$B$28*COS(O76)+Geometry!$B$32*SIN(O76)+Geometry!$B$8*Geometry!$B$30*(1-COS(O76)))^2))))*180/PI())</f>
        <v>6.693809304998962</v>
      </c>
      <c r="R76" s="3">
        <f>IF(NOT(ISNUMBER($A76)),"",Inputs!$B$21+$A76*Inputs!$E$6/SQRT(Inputs!$E$6^2+Inputs!$E$7^2+Inputs!$E$8^2))</f>
        <v>919.87300000000005</v>
      </c>
      <c r="S76" s="3">
        <f>IF(NOT(ISNUMBER($A76)),"",Inputs!$C$21+$A76*Inputs!$E$7/SQRT(Inputs!$E$6^2+Inputs!$E$7^2+Inputs!$E$8^2))</f>
        <v>-243.45400000000001</v>
      </c>
      <c r="T76" s="3">
        <f>IF(NOT(ISNUMBER($A76)),"",Inputs!$D$21+$A76*Inputs!$E$8/SQRT(Inputs!$E$6^2+Inputs!$E$7^2+Inputs!$E$8^2))</f>
        <v>182.18899999999999</v>
      </c>
      <c r="U76" s="3">
        <f>IF(NOT(ISNUMBER($A76)),"",Inputs!$B$19+Geometry!$C$15-R76)</f>
        <v>-24.932661268328502</v>
      </c>
      <c r="V76" s="3">
        <f>IF(NOT(ISNUMBER($A76)),"",Inputs!$C$19+Geometry!$C$16-S76)</f>
        <v>-197.76798447238372</v>
      </c>
      <c r="W76" s="3">
        <f>IF(NOT(ISNUMBER($A76)),"",Inputs!$D$19+Geometry!$C$17-T76)</f>
        <v>11.015351937228701</v>
      </c>
      <c r="X76" s="3">
        <f>IF(NOT(ISNUMBER($A76)),"",2*(U76*Geometry!$C$18+V76*Geometry!$C$19+W76*Geometry!$C$20))</f>
        <v>8404.9961100188211</v>
      </c>
      <c r="Y76" s="3">
        <f>IF(NOT(ISNUMBER($A76)),"",2*(U76*Geometry!$C$21+V76*Geometry!$C$22+W76*Geometry!$C$23))</f>
        <v>-59204.642246086332</v>
      </c>
      <c r="Z76" s="3">
        <f>IF(NOT(ISNUMBER($A76)),"",Geometry!$C$24^2-(U76^2+V76^2+W76^2)-(Geometry!$C$18^2+Geometry!$C$19^2+Geometry!$C$20^2))</f>
        <v>1984.6801100188313</v>
      </c>
      <c r="AA76" s="3">
        <f t="shared" si="25"/>
        <v>59798.274415709544</v>
      </c>
      <c r="AB76" s="3">
        <f t="shared" si="26"/>
        <v>3.3189588318579273E-2</v>
      </c>
      <c r="AC76" s="3">
        <f t="shared" si="27"/>
        <v>-1.4297735309518691</v>
      </c>
      <c r="AD76" s="3">
        <f t="shared" si="28"/>
        <v>1.537600642128846</v>
      </c>
      <c r="AE76" s="3">
        <f>IF(AC76="","",MOD(AC76+Geometry!$C$47*AD76+PI(),2*PI())-PI())</f>
        <v>0.10782711117697685</v>
      </c>
      <c r="AF76" s="3" t="b">
        <f t="shared" si="29"/>
        <v>1</v>
      </c>
      <c r="AG76" s="3">
        <f>IF(AF76=FALSE,"",IF((Geometry!$C$28*COS(AE76)+Geometry!$C$32*SIN(AE76)+Geometry!$C$8*Geometry!$C$30*(1-COS(AE76)))&gt;=0,1,-1)*ACOS(MAX(-1,MIN(1,(Geometry!$C$27*COS(AE76)+Geometry!$C$31*SIN(AE76)+Geometry!$C$7*Geometry!$C$30*(1-COS(AE76)))/SQRT((Geometry!$C$27*COS(AE76)+Geometry!$C$31*SIN(AE76)+Geometry!$C$7*Geometry!$C$30*(1-COS(AE76)))^2+(Geometry!$C$28*COS(AE76)+Geometry!$C$32*SIN(AE76)+Geometry!$C$8*Geometry!$C$30*(1-COS(AE76)))^2))))*180/PI())</f>
        <v>6.0605245201626348</v>
      </c>
    </row>
    <row r="77" spans="1:33">
      <c r="A77" s="3">
        <f>IF(Inputs!$E$9+75*Inputs!$E$11&lt;=Inputs!$E$10,Inputs!$E$9+75*Inputs!$E$11,"")</f>
        <v>15</v>
      </c>
      <c r="B77" s="3">
        <f>IF(NOT(ISNUMBER($A77)),"",Inputs!$B$17+$A77*Inputs!$E$6/SQRT(Inputs!$E$6^2+Inputs!$E$7^2+Inputs!$E$8^2))</f>
        <v>919.87300000000005</v>
      </c>
      <c r="C77" s="3">
        <f>IF(NOT(ISNUMBER($A77)),"",Inputs!$C$17+$A77*Inputs!$E$7/SQRT(Inputs!$E$6^2+Inputs!$E$7^2+Inputs!$E$8^2))</f>
        <v>272.45400000000001</v>
      </c>
      <c r="D77" s="3">
        <f>IF(NOT(ISNUMBER($A77)),"",Inputs!$D$17+$A77*Inputs!$E$8/SQRT(Inputs!$E$6^2+Inputs!$E$7^2+Inputs!$E$8^2))</f>
        <v>182.18899999999999</v>
      </c>
      <c r="E77" s="3">
        <f>IF(NOT(ISNUMBER($A77)),"",Inputs!$B$15+Geometry!$B$15-B77)</f>
        <v>-24.932661268328502</v>
      </c>
      <c r="F77" s="3">
        <f>IF(NOT(ISNUMBER($A77)),"",Inputs!$C$15+Geometry!$B$16-C77)</f>
        <v>168.76798447238372</v>
      </c>
      <c r="G77" s="3">
        <f>IF(NOT(ISNUMBER($A77)),"",Inputs!$D$15+Geometry!$B$17-D77)</f>
        <v>11.015351937228701</v>
      </c>
      <c r="H77" s="3">
        <f>IF(NOT(ISNUMBER($A77)),"",2*(E77*Geometry!$B$18+F77*Geometry!$B$19+G77*Geometry!$B$20))</f>
        <v>6170.3132094170778</v>
      </c>
      <c r="I77" s="3">
        <f>IF(NOT(ISNUMBER($A77)),"",2*(E77*Geometry!$B$21+F77*Geometry!$B$22+G77*Geometry!$B$23))</f>
        <v>50896.653674278379</v>
      </c>
      <c r="J77" s="3">
        <f>IF(NOT(ISNUMBER($A77)),"",Geometry!$B$24^2-(E77^2+F77^2+G77^2)-(Geometry!$B$18^2+Geometry!$B$19^2+Geometry!$B$20^2))</f>
        <v>12614.22320941709</v>
      </c>
      <c r="K77" s="3">
        <f t="shared" si="20"/>
        <v>51269.309731473288</v>
      </c>
      <c r="L77" s="3">
        <f t="shared" si="21"/>
        <v>0.24603848336334144</v>
      </c>
      <c r="M77" s="3">
        <f t="shared" si="22"/>
        <v>1.4501528719148884</v>
      </c>
      <c r="N77" s="3">
        <f t="shared" si="23"/>
        <v>1.3222053610040425</v>
      </c>
      <c r="O77" s="3">
        <f>IF(M77="","",MOD(M77+Geometry!$B$47*N77+PI(),2*PI())-PI())</f>
        <v>0.12794751091084589</v>
      </c>
      <c r="P77" s="3" t="b">
        <f t="shared" si="24"/>
        <v>1</v>
      </c>
      <c r="Q77" s="3">
        <f>IF(P77=FALSE,"",IF((Geometry!$B$28*COS(O77)+Geometry!$B$32*SIN(O77)+Geometry!$B$8*Geometry!$B$30*(1-COS(O77)))&gt;=0,1,-1)*ACOS(MAX(-1,MIN(1,(Geometry!$B$27*COS(O77)+Geometry!$B$31*SIN(O77)+Geometry!$B$7*Geometry!$B$30*(1-COS(O77)))/SQRT((Geometry!$B$27*COS(O77)+Geometry!$B$31*SIN(O77)+Geometry!$B$7*Geometry!$B$30*(1-COS(O77)))^2+(Geometry!$B$28*COS(O77)+Geometry!$B$32*SIN(O77)+Geometry!$B$8*Geometry!$B$30*(1-COS(O77)))^2))))*180/PI())</f>
        <v>7.2024173076122056</v>
      </c>
      <c r="R77" s="3">
        <f>IF(NOT(ISNUMBER($A77)),"",Inputs!$B$21+$A77*Inputs!$E$6/SQRT(Inputs!$E$6^2+Inputs!$E$7^2+Inputs!$E$8^2))</f>
        <v>919.87300000000005</v>
      </c>
      <c r="S77" s="3">
        <f>IF(NOT(ISNUMBER($A77)),"",Inputs!$C$21+$A77*Inputs!$E$7/SQRT(Inputs!$E$6^2+Inputs!$E$7^2+Inputs!$E$8^2))</f>
        <v>-242.45400000000001</v>
      </c>
      <c r="T77" s="3">
        <f>IF(NOT(ISNUMBER($A77)),"",Inputs!$D$21+$A77*Inputs!$E$8/SQRT(Inputs!$E$6^2+Inputs!$E$7^2+Inputs!$E$8^2))</f>
        <v>182.18899999999999</v>
      </c>
      <c r="U77" s="3">
        <f>IF(NOT(ISNUMBER($A77)),"",Inputs!$B$19+Geometry!$C$15-R77)</f>
        <v>-24.932661268328502</v>
      </c>
      <c r="V77" s="3">
        <f>IF(NOT(ISNUMBER($A77)),"",Inputs!$C$19+Geometry!$C$16-S77)</f>
        <v>-198.76798447238372</v>
      </c>
      <c r="W77" s="3">
        <f>IF(NOT(ISNUMBER($A77)),"",Inputs!$D$19+Geometry!$C$17-T77)</f>
        <v>11.015351937228701</v>
      </c>
      <c r="X77" s="3">
        <f>IF(NOT(ISNUMBER($A77)),"",2*(U77*Geometry!$C$18+V77*Geometry!$C$19+W77*Geometry!$C$20))</f>
        <v>8482.0541410740534</v>
      </c>
      <c r="Y77" s="3">
        <f>IF(NOT(ISNUMBER($A77)),"",2*(U77*Geometry!$C$21+V77*Geometry!$C$22+W77*Geometry!$C$23))</f>
        <v>-59491.124610631436</v>
      </c>
      <c r="Z77" s="3">
        <f>IF(NOT(ISNUMBER($A77)),"",Geometry!$C$24^2-(U77^2+V77^2+W77^2)-(Geometry!$C$18^2+Geometry!$C$19^2+Geometry!$C$20^2))</f>
        <v>1588.1441410740663</v>
      </c>
      <c r="AA77" s="3">
        <f t="shared" si="25"/>
        <v>60092.754554020816</v>
      </c>
      <c r="AB77" s="3">
        <f t="shared" si="26"/>
        <v>2.6428213398778259E-2</v>
      </c>
      <c r="AC77" s="3">
        <f t="shared" si="27"/>
        <v>-1.4291740195323326</v>
      </c>
      <c r="AD77" s="3">
        <f t="shared" si="28"/>
        <v>1.5443650359624583</v>
      </c>
      <c r="AE77" s="3">
        <f>IF(AC77="","",MOD(AC77+Geometry!$C$47*AD77+PI(),2*PI())-PI())</f>
        <v>0.11519101643012597</v>
      </c>
      <c r="AF77" s="3" t="b">
        <f t="shared" si="29"/>
        <v>1</v>
      </c>
      <c r="AG77" s="3">
        <f>IF(AF77=FALSE,"",IF((Geometry!$C$28*COS(AE77)+Geometry!$C$32*SIN(AE77)+Geometry!$C$8*Geometry!$C$30*(1-COS(AE77)))&gt;=0,1,-1)*ACOS(MAX(-1,MIN(1,(Geometry!$C$27*COS(AE77)+Geometry!$C$31*SIN(AE77)+Geometry!$C$7*Geometry!$C$30*(1-COS(AE77)))/SQRT((Geometry!$C$27*COS(AE77)+Geometry!$C$31*SIN(AE77)+Geometry!$C$7*Geometry!$C$30*(1-COS(AE77)))^2+(Geometry!$C$28*COS(AE77)+Geometry!$C$32*SIN(AE77)+Geometry!$C$8*Geometry!$C$30*(1-COS(AE77)))^2))))*180/PI())</f>
        <v>6.4742267151514961</v>
      </c>
    </row>
    <row r="78" spans="1:33">
      <c r="A78" s="3">
        <f>IF(Inputs!$E$9+76*Inputs!$E$11&lt;=Inputs!$E$10,Inputs!$E$9+76*Inputs!$E$11,"")</f>
        <v>16</v>
      </c>
      <c r="B78" s="3">
        <f>IF(NOT(ISNUMBER($A78)),"",Inputs!$B$17+$A78*Inputs!$E$6/SQRT(Inputs!$E$6^2+Inputs!$E$7^2+Inputs!$E$8^2))</f>
        <v>919.87300000000005</v>
      </c>
      <c r="C78" s="3">
        <f>IF(NOT(ISNUMBER($A78)),"",Inputs!$C$17+$A78*Inputs!$E$7/SQRT(Inputs!$E$6^2+Inputs!$E$7^2+Inputs!$E$8^2))</f>
        <v>273.45400000000001</v>
      </c>
      <c r="D78" s="3">
        <f>IF(NOT(ISNUMBER($A78)),"",Inputs!$D$17+$A78*Inputs!$E$8/SQRT(Inputs!$E$6^2+Inputs!$E$7^2+Inputs!$E$8^2))</f>
        <v>182.18899999999999</v>
      </c>
      <c r="E78" s="3">
        <f>IF(NOT(ISNUMBER($A78)),"",Inputs!$B$15+Geometry!$B$15-B78)</f>
        <v>-24.932661268328502</v>
      </c>
      <c r="F78" s="3">
        <f>IF(NOT(ISNUMBER($A78)),"",Inputs!$C$15+Geometry!$B$16-C78)</f>
        <v>167.76798447238372</v>
      </c>
      <c r="G78" s="3">
        <f>IF(NOT(ISNUMBER($A78)),"",Inputs!$D$15+Geometry!$B$17-D78)</f>
        <v>11.015351937228701</v>
      </c>
      <c r="H78" s="3">
        <f>IF(NOT(ISNUMBER($A78)),"",2*(E78*Geometry!$B$18+F78*Geometry!$B$19+G78*Geometry!$B$20))</f>
        <v>6093.2551783618455</v>
      </c>
      <c r="I78" s="3">
        <f>IF(NOT(ISNUMBER($A78)),"",2*(E78*Geometry!$B$21+F78*Geometry!$B$22+G78*Geometry!$B$23))</f>
        <v>50610.171309733276</v>
      </c>
      <c r="J78" s="3">
        <f>IF(NOT(ISNUMBER($A78)),"",Geometry!$B$24^2-(E78^2+F78^2+G78^2)-(Geometry!$B$18^2+Geometry!$B$19^2+Geometry!$B$20^2))</f>
        <v>12950.759178361855</v>
      </c>
      <c r="K78" s="3">
        <f t="shared" si="20"/>
        <v>50975.652998948259</v>
      </c>
      <c r="L78" s="3">
        <f t="shared" si="21"/>
        <v>0.25405773965522438</v>
      </c>
      <c r="M78" s="3">
        <f t="shared" si="22"/>
        <v>1.4509771769994053</v>
      </c>
      <c r="N78" s="3">
        <f t="shared" si="23"/>
        <v>1.3139229740383183</v>
      </c>
      <c r="O78" s="3">
        <f>IF(M78="","",MOD(M78+Geometry!$B$47*N78+PI(),2*PI())-PI())</f>
        <v>0.13705420296108706</v>
      </c>
      <c r="P78" s="3" t="b">
        <f t="shared" si="24"/>
        <v>1</v>
      </c>
      <c r="Q78" s="3">
        <f>IF(P78=FALSE,"",IF((Geometry!$B$28*COS(O78)+Geometry!$B$32*SIN(O78)+Geometry!$B$8*Geometry!$B$30*(1-COS(O78)))&gt;=0,1,-1)*ACOS(MAX(-1,MIN(1,(Geometry!$B$27*COS(O78)+Geometry!$B$31*SIN(O78)+Geometry!$B$7*Geometry!$B$30*(1-COS(O78)))/SQRT((Geometry!$B$27*COS(O78)+Geometry!$B$31*SIN(O78)+Geometry!$B$7*Geometry!$B$30*(1-COS(O78)))^2+(Geometry!$B$28*COS(O78)+Geometry!$B$32*SIN(O78)+Geometry!$B$8*Geometry!$B$30*(1-COS(O78)))^2))))*180/PI())</f>
        <v>7.7156635363554251</v>
      </c>
      <c r="R78" s="3">
        <f>IF(NOT(ISNUMBER($A78)),"",Inputs!$B$21+$A78*Inputs!$E$6/SQRT(Inputs!$E$6^2+Inputs!$E$7^2+Inputs!$E$8^2))</f>
        <v>919.87300000000005</v>
      </c>
      <c r="S78" s="3">
        <f>IF(NOT(ISNUMBER($A78)),"",Inputs!$C$21+$A78*Inputs!$E$7/SQRT(Inputs!$E$6^2+Inputs!$E$7^2+Inputs!$E$8^2))</f>
        <v>-241.45400000000001</v>
      </c>
      <c r="T78" s="3">
        <f>IF(NOT(ISNUMBER($A78)),"",Inputs!$D$21+$A78*Inputs!$E$8/SQRT(Inputs!$E$6^2+Inputs!$E$7^2+Inputs!$E$8^2))</f>
        <v>182.18899999999999</v>
      </c>
      <c r="U78" s="3">
        <f>IF(NOT(ISNUMBER($A78)),"",Inputs!$B$19+Geometry!$C$15-R78)</f>
        <v>-24.932661268328502</v>
      </c>
      <c r="V78" s="3">
        <f>IF(NOT(ISNUMBER($A78)),"",Inputs!$C$19+Geometry!$C$16-S78)</f>
        <v>-199.76798447238372</v>
      </c>
      <c r="W78" s="3">
        <f>IF(NOT(ISNUMBER($A78)),"",Inputs!$D$19+Geometry!$C$17-T78)</f>
        <v>11.015351937228701</v>
      </c>
      <c r="X78" s="3">
        <f>IF(NOT(ISNUMBER($A78)),"",2*(U78*Geometry!$C$18+V78*Geometry!$C$19+W78*Geometry!$C$20))</f>
        <v>8559.1121721292857</v>
      </c>
      <c r="Y78" s="3">
        <f>IF(NOT(ISNUMBER($A78)),"",2*(U78*Geometry!$C$21+V78*Geometry!$C$22+W78*Geometry!$C$23))</f>
        <v>-59777.606975176532</v>
      </c>
      <c r="Z78" s="3">
        <f>IF(NOT(ISNUMBER($A78)),"",Geometry!$C$24^2-(U78^2+V78^2+W78^2)-(Geometry!$C$18^2+Geometry!$C$19^2+Geometry!$C$20^2))</f>
        <v>1189.608172129294</v>
      </c>
      <c r="AA78" s="3">
        <f t="shared" si="25"/>
        <v>60387.256079853185</v>
      </c>
      <c r="AB78" s="3">
        <f t="shared" si="26"/>
        <v>1.9699656009476797E-2</v>
      </c>
      <c r="AC78" s="3">
        <f t="shared" si="27"/>
        <v>-1.4285803553941294</v>
      </c>
      <c r="AD78" s="3">
        <f t="shared" si="28"/>
        <v>1.551095396400771</v>
      </c>
      <c r="AE78" s="3">
        <f>IF(AC78="","",MOD(AC78+Geometry!$C$47*AD78+PI(),2*PI())-PI())</f>
        <v>0.12251504100664157</v>
      </c>
      <c r="AF78" s="3" t="b">
        <f t="shared" si="29"/>
        <v>1</v>
      </c>
      <c r="AG78" s="3">
        <f>IF(AF78=FALSE,"",IF((Geometry!$C$28*COS(AE78)+Geometry!$C$32*SIN(AE78)+Geometry!$C$8*Geometry!$C$30*(1-COS(AE78)))&gt;=0,1,-1)*ACOS(MAX(-1,MIN(1,(Geometry!$C$27*COS(AE78)+Geometry!$C$31*SIN(AE78)+Geometry!$C$7*Geometry!$C$30*(1-COS(AE78)))/SQRT((Geometry!$C$27*COS(AE78)+Geometry!$C$31*SIN(AE78)+Geometry!$C$7*Geometry!$C$30*(1-COS(AE78)))^2+(Geometry!$C$28*COS(AE78)+Geometry!$C$32*SIN(AE78)+Geometry!$C$8*Geometry!$C$30*(1-COS(AE78)))^2))))*180/PI())</f>
        <v>6.8856719591287803</v>
      </c>
    </row>
    <row r="79" spans="1:33">
      <c r="A79" s="3">
        <f>IF(Inputs!$E$9+77*Inputs!$E$11&lt;=Inputs!$E$10,Inputs!$E$9+77*Inputs!$E$11,"")</f>
        <v>17</v>
      </c>
      <c r="B79" s="3">
        <f>IF(NOT(ISNUMBER($A79)),"",Inputs!$B$17+$A79*Inputs!$E$6/SQRT(Inputs!$E$6^2+Inputs!$E$7^2+Inputs!$E$8^2))</f>
        <v>919.87300000000005</v>
      </c>
      <c r="C79" s="3">
        <f>IF(NOT(ISNUMBER($A79)),"",Inputs!$C$17+$A79*Inputs!$E$7/SQRT(Inputs!$E$6^2+Inputs!$E$7^2+Inputs!$E$8^2))</f>
        <v>274.45400000000001</v>
      </c>
      <c r="D79" s="3">
        <f>IF(NOT(ISNUMBER($A79)),"",Inputs!$D$17+$A79*Inputs!$E$8/SQRT(Inputs!$E$6^2+Inputs!$E$7^2+Inputs!$E$8^2))</f>
        <v>182.18899999999999</v>
      </c>
      <c r="E79" s="3">
        <f>IF(NOT(ISNUMBER($A79)),"",Inputs!$B$15+Geometry!$B$15-B79)</f>
        <v>-24.932661268328502</v>
      </c>
      <c r="F79" s="3">
        <f>IF(NOT(ISNUMBER($A79)),"",Inputs!$C$15+Geometry!$B$16-C79)</f>
        <v>166.76798447238372</v>
      </c>
      <c r="G79" s="3">
        <f>IF(NOT(ISNUMBER($A79)),"",Inputs!$D$15+Geometry!$B$17-D79)</f>
        <v>11.015351937228701</v>
      </c>
      <c r="H79" s="3">
        <f>IF(NOT(ISNUMBER($A79)),"",2*(E79*Geometry!$B$18+F79*Geometry!$B$19+G79*Geometry!$B$20))</f>
        <v>6016.1971473066133</v>
      </c>
      <c r="I79" s="3">
        <f>IF(NOT(ISNUMBER($A79)),"",2*(E79*Geometry!$B$21+F79*Geometry!$B$22+G79*Geometry!$B$23))</f>
        <v>50323.68894518818</v>
      </c>
      <c r="J79" s="3">
        <f>IF(NOT(ISNUMBER($A79)),"",Geometry!$B$24^2-(E79^2+F79^2+G79^2)-(Geometry!$B$18^2+Geometry!$B$19^2+Geometry!$B$20^2))</f>
        <v>13285.29514730662</v>
      </c>
      <c r="K79" s="3">
        <f t="shared" si="20"/>
        <v>50682.031304667682</v>
      </c>
      <c r="L79" s="3">
        <f t="shared" si="21"/>
        <v>0.26213028178456377</v>
      </c>
      <c r="M79" s="3">
        <f t="shared" si="22"/>
        <v>1.4518110337276184</v>
      </c>
      <c r="N79" s="3">
        <f t="shared" si="23"/>
        <v>1.3055673119542968</v>
      </c>
      <c r="O79" s="3">
        <f>IF(M79="","",MOD(M79+Geometry!$B$47*N79+PI(),2*PI())-PI())</f>
        <v>0.14624372177332168</v>
      </c>
      <c r="P79" s="3" t="b">
        <f t="shared" si="24"/>
        <v>1</v>
      </c>
      <c r="Q79" s="3">
        <f>IF(P79=FALSE,"",IF((Geometry!$B$28*COS(O79)+Geometry!$B$32*SIN(O79)+Geometry!$B$8*Geometry!$B$30*(1-COS(O79)))&gt;=0,1,-1)*ACOS(MAX(-1,MIN(1,(Geometry!$B$27*COS(O79)+Geometry!$B$31*SIN(O79)+Geometry!$B$7*Geometry!$B$30*(1-COS(O79)))/SQRT((Geometry!$B$27*COS(O79)+Geometry!$B$31*SIN(O79)+Geometry!$B$7*Geometry!$B$30*(1-COS(O79)))^2+(Geometry!$B$28*COS(O79)+Geometry!$B$32*SIN(O79)+Geometry!$B$8*Geometry!$B$30*(1-COS(O79)))^2))))*180/PI())</f>
        <v>8.2336715982739097</v>
      </c>
      <c r="R79" s="3">
        <f>IF(NOT(ISNUMBER($A79)),"",Inputs!$B$21+$A79*Inputs!$E$6/SQRT(Inputs!$E$6^2+Inputs!$E$7^2+Inputs!$E$8^2))</f>
        <v>919.87300000000005</v>
      </c>
      <c r="S79" s="3">
        <f>IF(NOT(ISNUMBER($A79)),"",Inputs!$C$21+$A79*Inputs!$E$7/SQRT(Inputs!$E$6^2+Inputs!$E$7^2+Inputs!$E$8^2))</f>
        <v>-240.45400000000001</v>
      </c>
      <c r="T79" s="3">
        <f>IF(NOT(ISNUMBER($A79)),"",Inputs!$D$21+$A79*Inputs!$E$8/SQRT(Inputs!$E$6^2+Inputs!$E$7^2+Inputs!$E$8^2))</f>
        <v>182.18899999999999</v>
      </c>
      <c r="U79" s="3">
        <f>IF(NOT(ISNUMBER($A79)),"",Inputs!$B$19+Geometry!$C$15-R79)</f>
        <v>-24.932661268328502</v>
      </c>
      <c r="V79" s="3">
        <f>IF(NOT(ISNUMBER($A79)),"",Inputs!$C$19+Geometry!$C$16-S79)</f>
        <v>-200.76798447238372</v>
      </c>
      <c r="W79" s="3">
        <f>IF(NOT(ISNUMBER($A79)),"",Inputs!$D$19+Geometry!$C$17-T79)</f>
        <v>11.015351937228701</v>
      </c>
      <c r="X79" s="3">
        <f>IF(NOT(ISNUMBER($A79)),"",2*(U79*Geometry!$C$18+V79*Geometry!$C$19+W79*Geometry!$C$20))</f>
        <v>8636.170203184518</v>
      </c>
      <c r="Y79" s="3">
        <f>IF(NOT(ISNUMBER($A79)),"",2*(U79*Geometry!$C$21+V79*Geometry!$C$22+W79*Geometry!$C$23))</f>
        <v>-60064.089339721635</v>
      </c>
      <c r="Z79" s="3">
        <f>IF(NOT(ISNUMBER($A79)),"",Geometry!$C$24^2-(U79^2+V79^2+W79^2)-(Geometry!$C$18^2+Geometry!$C$19^2+Geometry!$C$20^2))</f>
        <v>789.07220318452892</v>
      </c>
      <c r="AA79" s="3">
        <f t="shared" si="25"/>
        <v>60681.778681812175</v>
      </c>
      <c r="AB79" s="3">
        <f t="shared" si="26"/>
        <v>1.3003445520640833E-2</v>
      </c>
      <c r="AC79" s="3">
        <f t="shared" si="27"/>
        <v>-1.4279924538184166</v>
      </c>
      <c r="AD79" s="3">
        <f t="shared" si="28"/>
        <v>1.5577925147884786</v>
      </c>
      <c r="AE79" s="3">
        <f>IF(AC79="","",MOD(AC79+Geometry!$C$47*AD79+PI(),2*PI())-PI())</f>
        <v>0.12980006097006225</v>
      </c>
      <c r="AF79" s="3" t="b">
        <f t="shared" si="29"/>
        <v>1</v>
      </c>
      <c r="AG79" s="3">
        <f>IF(AF79=FALSE,"",IF((Geometry!$C$28*COS(AE79)+Geometry!$C$32*SIN(AE79)+Geometry!$C$8*Geometry!$C$30*(1-COS(AE79)))&gt;=0,1,-1)*ACOS(MAX(-1,MIN(1,(Geometry!$C$27*COS(AE79)+Geometry!$C$31*SIN(AE79)+Geometry!$C$7*Geometry!$C$30*(1-COS(AE79)))/SQRT((Geometry!$C$27*COS(AE79)+Geometry!$C$31*SIN(AE79)+Geometry!$C$7*Geometry!$C$30*(1-COS(AE79)))^2+(Geometry!$C$28*COS(AE79)+Geometry!$C$32*SIN(AE79)+Geometry!$C$8*Geometry!$C$30*(1-COS(AE79)))^2))))*180/PI())</f>
        <v>7.2949111998510014</v>
      </c>
    </row>
    <row r="80" spans="1:33">
      <c r="A80" s="3">
        <f>IF(Inputs!$E$9+78*Inputs!$E$11&lt;=Inputs!$E$10,Inputs!$E$9+78*Inputs!$E$11,"")</f>
        <v>18</v>
      </c>
      <c r="B80" s="3">
        <f>IF(NOT(ISNUMBER($A80)),"",Inputs!$B$17+$A80*Inputs!$E$6/SQRT(Inputs!$E$6^2+Inputs!$E$7^2+Inputs!$E$8^2))</f>
        <v>919.87300000000005</v>
      </c>
      <c r="C80" s="3">
        <f>IF(NOT(ISNUMBER($A80)),"",Inputs!$C$17+$A80*Inputs!$E$7/SQRT(Inputs!$E$6^2+Inputs!$E$7^2+Inputs!$E$8^2))</f>
        <v>275.45400000000001</v>
      </c>
      <c r="D80" s="3">
        <f>IF(NOT(ISNUMBER($A80)),"",Inputs!$D$17+$A80*Inputs!$E$8/SQRT(Inputs!$E$6^2+Inputs!$E$7^2+Inputs!$E$8^2))</f>
        <v>182.18899999999999</v>
      </c>
      <c r="E80" s="3">
        <f>IF(NOT(ISNUMBER($A80)),"",Inputs!$B$15+Geometry!$B$15-B80)</f>
        <v>-24.932661268328502</v>
      </c>
      <c r="F80" s="3">
        <f>IF(NOT(ISNUMBER($A80)),"",Inputs!$C$15+Geometry!$B$16-C80)</f>
        <v>165.76798447238372</v>
      </c>
      <c r="G80" s="3">
        <f>IF(NOT(ISNUMBER($A80)),"",Inputs!$D$15+Geometry!$B$17-D80)</f>
        <v>11.015351937228701</v>
      </c>
      <c r="H80" s="3">
        <f>IF(NOT(ISNUMBER($A80)),"",2*(E80*Geometry!$B$18+F80*Geometry!$B$19+G80*Geometry!$B$20))</f>
        <v>5939.139116251381</v>
      </c>
      <c r="I80" s="3">
        <f>IF(NOT(ISNUMBER($A80)),"",2*(E80*Geometry!$B$21+F80*Geometry!$B$22+G80*Geometry!$B$23))</f>
        <v>50037.206580643076</v>
      </c>
      <c r="J80" s="3">
        <f>IF(NOT(ISNUMBER($A80)),"",Geometry!$B$24^2-(E80^2+F80^2+G80^2)-(Geometry!$B$18^2+Geometry!$B$19^2+Geometry!$B$20^2))</f>
        <v>13617.831116251386</v>
      </c>
      <c r="K80" s="3">
        <f t="shared" si="20"/>
        <v>50388.445261152265</v>
      </c>
      <c r="L80" s="3">
        <f t="shared" si="21"/>
        <v>0.27025702114191363</v>
      </c>
      <c r="M80" s="3">
        <f t="shared" si="22"/>
        <v>1.4526546079066467</v>
      </c>
      <c r="N80" s="3">
        <f t="shared" si="23"/>
        <v>1.2971363503104765</v>
      </c>
      <c r="O80" s="3">
        <f>IF(M80="","",MOD(M80+Geometry!$B$47*N80+PI(),2*PI())-PI())</f>
        <v>0.15551825759617</v>
      </c>
      <c r="P80" s="3" t="b">
        <f t="shared" si="24"/>
        <v>1</v>
      </c>
      <c r="Q80" s="3">
        <f>IF(P80=FALSE,"",IF((Geometry!$B$28*COS(O80)+Geometry!$B$32*SIN(O80)+Geometry!$B$8*Geometry!$B$30*(1-COS(O80)))&gt;=0,1,-1)*ACOS(MAX(-1,MIN(1,(Geometry!$B$27*COS(O80)+Geometry!$B$31*SIN(O80)+Geometry!$B$7*Geometry!$B$30*(1-COS(O80)))/SQRT((Geometry!$B$27*COS(O80)+Geometry!$B$31*SIN(O80)+Geometry!$B$7*Geometry!$B$30*(1-COS(O80)))^2+(Geometry!$B$28*COS(O80)+Geometry!$B$32*SIN(O80)+Geometry!$B$8*Geometry!$B$30*(1-COS(O80)))^2))))*180/PI())</f>
        <v>8.7565695191250192</v>
      </c>
      <c r="R80" s="3">
        <f>IF(NOT(ISNUMBER($A80)),"",Inputs!$B$21+$A80*Inputs!$E$6/SQRT(Inputs!$E$6^2+Inputs!$E$7^2+Inputs!$E$8^2))</f>
        <v>919.87300000000005</v>
      </c>
      <c r="S80" s="3">
        <f>IF(NOT(ISNUMBER($A80)),"",Inputs!$C$21+$A80*Inputs!$E$7/SQRT(Inputs!$E$6^2+Inputs!$E$7^2+Inputs!$E$8^2))</f>
        <v>-239.45400000000001</v>
      </c>
      <c r="T80" s="3">
        <f>IF(NOT(ISNUMBER($A80)),"",Inputs!$D$21+$A80*Inputs!$E$8/SQRT(Inputs!$E$6^2+Inputs!$E$7^2+Inputs!$E$8^2))</f>
        <v>182.18899999999999</v>
      </c>
      <c r="U80" s="3">
        <f>IF(NOT(ISNUMBER($A80)),"",Inputs!$B$19+Geometry!$C$15-R80)</f>
        <v>-24.932661268328502</v>
      </c>
      <c r="V80" s="3">
        <f>IF(NOT(ISNUMBER($A80)),"",Inputs!$C$19+Geometry!$C$16-S80)</f>
        <v>-201.76798447238372</v>
      </c>
      <c r="W80" s="3">
        <f>IF(NOT(ISNUMBER($A80)),"",Inputs!$D$19+Geometry!$C$17-T80)</f>
        <v>11.015351937228701</v>
      </c>
      <c r="X80" s="3">
        <f>IF(NOT(ISNUMBER($A80)),"",2*(U80*Geometry!$C$18+V80*Geometry!$C$19+W80*Geometry!$C$20))</f>
        <v>8713.2282342397521</v>
      </c>
      <c r="Y80" s="3">
        <f>IF(NOT(ISNUMBER($A80)),"",2*(U80*Geometry!$C$21+V80*Geometry!$C$22+W80*Geometry!$C$23))</f>
        <v>-60350.571704266738</v>
      </c>
      <c r="Z80" s="3">
        <f>IF(NOT(ISNUMBER($A80)),"",Geometry!$C$24^2-(U80^2+V80^2+W80^2)-(Geometry!$C$18^2+Geometry!$C$19^2+Geometry!$C$20^2))</f>
        <v>386.53623423976387</v>
      </c>
      <c r="AA80" s="3">
        <f t="shared" si="25"/>
        <v>60976.322054497468</v>
      </c>
      <c r="AB80" s="3">
        <f t="shared" si="26"/>
        <v>6.3391201898713714E-3</v>
      </c>
      <c r="AC80" s="3">
        <f t="shared" si="27"/>
        <v>-1.4274102317071637</v>
      </c>
      <c r="AD80" s="3">
        <f t="shared" si="28"/>
        <v>1.5644571641485865</v>
      </c>
      <c r="AE80" s="3">
        <f>IF(AC80="","",MOD(AC80+Geometry!$C$47*AD80+PI(),2*PI())-PI())</f>
        <v>0.13704693244142252</v>
      </c>
      <c r="AF80" s="3" t="b">
        <f t="shared" si="29"/>
        <v>1</v>
      </c>
      <c r="AG80" s="3">
        <f>IF(AF80=FALSE,"",IF((Geometry!$C$28*COS(AE80)+Geometry!$C$32*SIN(AE80)+Geometry!$C$8*Geometry!$C$30*(1-COS(AE80)))&gt;=0,1,-1)*ACOS(MAX(-1,MIN(1,(Geometry!$C$27*COS(AE80)+Geometry!$C$31*SIN(AE80)+Geometry!$C$7*Geometry!$C$30*(1-COS(AE80)))/SQRT((Geometry!$C$27*COS(AE80)+Geometry!$C$31*SIN(AE80)+Geometry!$C$7*Geometry!$C$30*(1-COS(AE80)))^2+(Geometry!$C$28*COS(AE80)+Geometry!$C$32*SIN(AE80)+Geometry!$C$8*Geometry!$C$30*(1-COS(AE80)))^2))))*180/PI())</f>
        <v>7.7019942184156251</v>
      </c>
    </row>
    <row r="81" spans="1:33">
      <c r="A81" s="3">
        <f>IF(Inputs!$E$9+79*Inputs!$E$11&lt;=Inputs!$E$10,Inputs!$E$9+79*Inputs!$E$11,"")</f>
        <v>19</v>
      </c>
      <c r="B81" s="3">
        <f>IF(NOT(ISNUMBER($A81)),"",Inputs!$B$17+$A81*Inputs!$E$6/SQRT(Inputs!$E$6^2+Inputs!$E$7^2+Inputs!$E$8^2))</f>
        <v>919.87300000000005</v>
      </c>
      <c r="C81" s="3">
        <f>IF(NOT(ISNUMBER($A81)),"",Inputs!$C$17+$A81*Inputs!$E$7/SQRT(Inputs!$E$6^2+Inputs!$E$7^2+Inputs!$E$8^2))</f>
        <v>276.45400000000001</v>
      </c>
      <c r="D81" s="3">
        <f>IF(NOT(ISNUMBER($A81)),"",Inputs!$D$17+$A81*Inputs!$E$8/SQRT(Inputs!$E$6^2+Inputs!$E$7^2+Inputs!$E$8^2))</f>
        <v>182.18899999999999</v>
      </c>
      <c r="E81" s="3">
        <f>IF(NOT(ISNUMBER($A81)),"",Inputs!$B$15+Geometry!$B$15-B81)</f>
        <v>-24.932661268328502</v>
      </c>
      <c r="F81" s="3">
        <f>IF(NOT(ISNUMBER($A81)),"",Inputs!$C$15+Geometry!$B$16-C81)</f>
        <v>164.76798447238372</v>
      </c>
      <c r="G81" s="3">
        <f>IF(NOT(ISNUMBER($A81)),"",Inputs!$D$15+Geometry!$B$17-D81)</f>
        <v>11.015351937228701</v>
      </c>
      <c r="H81" s="3">
        <f>IF(NOT(ISNUMBER($A81)),"",2*(E81*Geometry!$B$18+F81*Geometry!$B$19+G81*Geometry!$B$20))</f>
        <v>5862.0810851961487</v>
      </c>
      <c r="I81" s="3">
        <f>IF(NOT(ISNUMBER($A81)),"",2*(E81*Geometry!$B$21+F81*Geometry!$B$22+G81*Geometry!$B$23))</f>
        <v>49750.724216097973</v>
      </c>
      <c r="J81" s="3">
        <f>IF(NOT(ISNUMBER($A81)),"",Geometry!$B$24^2-(E81^2+F81^2+G81^2)-(Geometry!$B$18^2+Geometry!$B$19^2+Geometry!$B$20^2))</f>
        <v>13948.367085196158</v>
      </c>
      <c r="K81" s="3">
        <f t="shared" si="20"/>
        <v>50094.895495206416</v>
      </c>
      <c r="L81" s="3">
        <f t="shared" si="21"/>
        <v>0.27843888977732029</v>
      </c>
      <c r="M81" s="3">
        <f t="shared" si="22"/>
        <v>1.4535080691754299</v>
      </c>
      <c r="N81" s="3">
        <f t="shared" si="23"/>
        <v>1.2886279893277943</v>
      </c>
      <c r="O81" s="3">
        <f>IF(M81="","",MOD(M81+Geometry!$B$47*N81+PI(),2*PI())-PI())</f>
        <v>0.16488007984763531</v>
      </c>
      <c r="P81" s="3" t="b">
        <f t="shared" si="24"/>
        <v>1</v>
      </c>
      <c r="Q81" s="3">
        <f>IF(P81=FALSE,"",IF((Geometry!$B$28*COS(O81)+Geometry!$B$32*SIN(O81)+Geometry!$B$8*Geometry!$B$30*(1-COS(O81)))&gt;=0,1,-1)*ACOS(MAX(-1,MIN(1,(Geometry!$B$27*COS(O81)+Geometry!$B$31*SIN(O81)+Geometry!$B$7*Geometry!$B$30*(1-COS(O81)))/SQRT((Geometry!$B$27*COS(O81)+Geometry!$B$31*SIN(O81)+Geometry!$B$7*Geometry!$B$30*(1-COS(O81)))^2+(Geometry!$B$28*COS(O81)+Geometry!$B$32*SIN(O81)+Geometry!$B$8*Geometry!$B$30*(1-COS(O81)))^2))))*180/PI())</f>
        <v>9.2844899696539471</v>
      </c>
      <c r="R81" s="3">
        <f>IF(NOT(ISNUMBER($A81)),"",Inputs!$B$21+$A81*Inputs!$E$6/SQRT(Inputs!$E$6^2+Inputs!$E$7^2+Inputs!$E$8^2))</f>
        <v>919.87300000000005</v>
      </c>
      <c r="S81" s="3">
        <f>IF(NOT(ISNUMBER($A81)),"",Inputs!$C$21+$A81*Inputs!$E$7/SQRT(Inputs!$E$6^2+Inputs!$E$7^2+Inputs!$E$8^2))</f>
        <v>-238.45400000000001</v>
      </c>
      <c r="T81" s="3">
        <f>IF(NOT(ISNUMBER($A81)),"",Inputs!$D$21+$A81*Inputs!$E$8/SQRT(Inputs!$E$6^2+Inputs!$E$7^2+Inputs!$E$8^2))</f>
        <v>182.18899999999999</v>
      </c>
      <c r="U81" s="3">
        <f>IF(NOT(ISNUMBER($A81)),"",Inputs!$B$19+Geometry!$C$15-R81)</f>
        <v>-24.932661268328502</v>
      </c>
      <c r="V81" s="3">
        <f>IF(NOT(ISNUMBER($A81)),"",Inputs!$C$19+Geometry!$C$16-S81)</f>
        <v>-202.76798447238372</v>
      </c>
      <c r="W81" s="3">
        <f>IF(NOT(ISNUMBER($A81)),"",Inputs!$D$19+Geometry!$C$17-T81)</f>
        <v>11.015351937228701</v>
      </c>
      <c r="X81" s="3">
        <f>IF(NOT(ISNUMBER($A81)),"",2*(U81*Geometry!$C$18+V81*Geometry!$C$19+W81*Geometry!$C$20))</f>
        <v>8790.2862652949843</v>
      </c>
      <c r="Y81" s="3">
        <f>IF(NOT(ISNUMBER($A81)),"",2*(U81*Geometry!$C$21+V81*Geometry!$C$22+W81*Geometry!$C$23))</f>
        <v>-60637.054068811842</v>
      </c>
      <c r="Z81" s="3">
        <f>IF(NOT(ISNUMBER($A81)),"",Geometry!$C$24^2-(U81^2+V81^2+W81^2)-(Geometry!$C$18^2+Geometry!$C$19^2+Geometry!$C$20^2))</f>
        <v>-17.99973470500845</v>
      </c>
      <c r="AA81" s="3">
        <f t="shared" si="25"/>
        <v>61270.885898359949</v>
      </c>
      <c r="AB81" s="3">
        <f t="shared" si="26"/>
        <v>-2.937730447519162E-4</v>
      </c>
      <c r="AC81" s="3">
        <f t="shared" si="27"/>
        <v>-1.4268336075447663</v>
      </c>
      <c r="AD81" s="3">
        <f t="shared" si="28"/>
        <v>1.5710900998438739</v>
      </c>
      <c r="AE81" s="3">
        <f>IF(AC81="","",MOD(AC81+Geometry!$C$47*AD81+PI(),2*PI())-PI())</f>
        <v>0.14425649229910764</v>
      </c>
      <c r="AF81" s="3" t="b">
        <f t="shared" si="29"/>
        <v>1</v>
      </c>
      <c r="AG81" s="3">
        <f>IF(AF81=FALSE,"",IF((Geometry!$C$28*COS(AE81)+Geometry!$C$32*SIN(AE81)+Geometry!$C$8*Geometry!$C$30*(1-COS(AE81)))&gt;=0,1,-1)*ACOS(MAX(-1,MIN(1,(Geometry!$C$27*COS(AE81)+Geometry!$C$31*SIN(AE81)+Geometry!$C$7*Geometry!$C$30*(1-COS(AE81)))/SQRT((Geometry!$C$27*COS(AE81)+Geometry!$C$31*SIN(AE81)+Geometry!$C$7*Geometry!$C$30*(1-COS(AE81)))^2+(Geometry!$C$28*COS(AE81)+Geometry!$C$32*SIN(AE81)+Geometry!$C$8*Geometry!$C$30*(1-COS(AE81)))^2))))*180/PI())</f>
        <v>8.106969670452699</v>
      </c>
    </row>
    <row r="82" spans="1:33">
      <c r="A82" s="3">
        <f>IF(Inputs!$E$9+80*Inputs!$E$11&lt;=Inputs!$E$10,Inputs!$E$9+80*Inputs!$E$11,"")</f>
        <v>20</v>
      </c>
      <c r="B82" s="3">
        <f>IF(NOT(ISNUMBER($A82)),"",Inputs!$B$17+$A82*Inputs!$E$6/SQRT(Inputs!$E$6^2+Inputs!$E$7^2+Inputs!$E$8^2))</f>
        <v>919.87300000000005</v>
      </c>
      <c r="C82" s="3">
        <f>IF(NOT(ISNUMBER($A82)),"",Inputs!$C$17+$A82*Inputs!$E$7/SQRT(Inputs!$E$6^2+Inputs!$E$7^2+Inputs!$E$8^2))</f>
        <v>277.45400000000001</v>
      </c>
      <c r="D82" s="3">
        <f>IF(NOT(ISNUMBER($A82)),"",Inputs!$D$17+$A82*Inputs!$E$8/SQRT(Inputs!$E$6^2+Inputs!$E$7^2+Inputs!$E$8^2))</f>
        <v>182.18899999999999</v>
      </c>
      <c r="E82" s="3">
        <f>IF(NOT(ISNUMBER($A82)),"",Inputs!$B$15+Geometry!$B$15-B82)</f>
        <v>-24.932661268328502</v>
      </c>
      <c r="F82" s="3">
        <f>IF(NOT(ISNUMBER($A82)),"",Inputs!$C$15+Geometry!$B$16-C82)</f>
        <v>163.76798447238372</v>
      </c>
      <c r="G82" s="3">
        <f>IF(NOT(ISNUMBER($A82)),"",Inputs!$D$15+Geometry!$B$17-D82)</f>
        <v>11.015351937228701</v>
      </c>
      <c r="H82" s="3">
        <f>IF(NOT(ISNUMBER($A82)),"",2*(E82*Geometry!$B$18+F82*Geometry!$B$19+G82*Geometry!$B$20))</f>
        <v>5785.0230541409164</v>
      </c>
      <c r="I82" s="3">
        <f>IF(NOT(ISNUMBER($A82)),"",2*(E82*Geometry!$B$21+F82*Geometry!$B$22+G82*Geometry!$B$23))</f>
        <v>49464.24185155287</v>
      </c>
      <c r="J82" s="3">
        <f>IF(NOT(ISNUMBER($A82)),"",Geometry!$B$24^2-(E82^2+F82^2+G82^2)-(Geometry!$B$18^2+Geometry!$B$19^2+Geometry!$B$20^2))</f>
        <v>14276.90305414093</v>
      </c>
      <c r="K82" s="3">
        <f t="shared" si="20"/>
        <v>49801.382648334737</v>
      </c>
      <c r="L82" s="3">
        <f t="shared" si="21"/>
        <v>0.28667684098160923</v>
      </c>
      <c r="M82" s="3">
        <f t="shared" si="22"/>
        <v>1.4543715911152133</v>
      </c>
      <c r="N82" s="3">
        <f t="shared" si="23"/>
        <v>1.2800400498801767</v>
      </c>
      <c r="O82" s="3">
        <f>IF(M82="","",MOD(M82+Geometry!$B$47*N82+PI(),2*PI())-PI())</f>
        <v>0.1743315412350368</v>
      </c>
      <c r="P82" s="3" t="b">
        <f t="shared" si="24"/>
        <v>1</v>
      </c>
      <c r="Q82" s="3">
        <f>IF(P82=FALSE,"",IF((Geometry!$B$28*COS(O82)+Geometry!$B$32*SIN(O82)+Geometry!$B$8*Geometry!$B$30*(1-COS(O82)))&gt;=0,1,-1)*ACOS(MAX(-1,MIN(1,(Geometry!$B$27*COS(O82)+Geometry!$B$31*SIN(O82)+Geometry!$B$7*Geometry!$B$30*(1-COS(O82)))/SQRT((Geometry!$B$27*COS(O82)+Geometry!$B$31*SIN(O82)+Geometry!$B$7*Geometry!$B$30*(1-COS(O82)))^2+(Geometry!$B$28*COS(O82)+Geometry!$B$32*SIN(O82)+Geometry!$B$8*Geometry!$B$30*(1-COS(O82)))^2))))*180/PI())</f>
        <v>9.8175705069340662</v>
      </c>
      <c r="R82" s="3">
        <f>IF(NOT(ISNUMBER($A82)),"",Inputs!$B$21+$A82*Inputs!$E$6/SQRT(Inputs!$E$6^2+Inputs!$E$7^2+Inputs!$E$8^2))</f>
        <v>919.87300000000005</v>
      </c>
      <c r="S82" s="3">
        <f>IF(NOT(ISNUMBER($A82)),"",Inputs!$C$21+$A82*Inputs!$E$7/SQRT(Inputs!$E$6^2+Inputs!$E$7^2+Inputs!$E$8^2))</f>
        <v>-237.45400000000001</v>
      </c>
      <c r="T82" s="3">
        <f>IF(NOT(ISNUMBER($A82)),"",Inputs!$D$21+$A82*Inputs!$E$8/SQRT(Inputs!$E$6^2+Inputs!$E$7^2+Inputs!$E$8^2))</f>
        <v>182.18899999999999</v>
      </c>
      <c r="U82" s="3">
        <f>IF(NOT(ISNUMBER($A82)),"",Inputs!$B$19+Geometry!$C$15-R82)</f>
        <v>-24.932661268328502</v>
      </c>
      <c r="V82" s="3">
        <f>IF(NOT(ISNUMBER($A82)),"",Inputs!$C$19+Geometry!$C$16-S82)</f>
        <v>-203.76798447238372</v>
      </c>
      <c r="W82" s="3">
        <f>IF(NOT(ISNUMBER($A82)),"",Inputs!$D$19+Geometry!$C$17-T82)</f>
        <v>11.015351937228701</v>
      </c>
      <c r="X82" s="3">
        <f>IF(NOT(ISNUMBER($A82)),"",2*(U82*Geometry!$C$18+V82*Geometry!$C$19+W82*Geometry!$C$20))</f>
        <v>8867.3442963502166</v>
      </c>
      <c r="Y82" s="3">
        <f>IF(NOT(ISNUMBER($A82)),"",2*(U82*Geometry!$C$21+V82*Geometry!$C$22+W82*Geometry!$C$23))</f>
        <v>-60923.536433356945</v>
      </c>
      <c r="Z82" s="3">
        <f>IF(NOT(ISNUMBER($A82)),"",Geometry!$C$24^2-(U82^2+V82^2+W82^2)-(Geometry!$C$18^2+Geometry!$C$19^2+Geometry!$C$20^2))</f>
        <v>-424.5357036497735</v>
      </c>
      <c r="AA82" s="3">
        <f t="shared" si="25"/>
        <v>61565.469919562755</v>
      </c>
      <c r="AB82" s="3">
        <f t="shared" si="26"/>
        <v>-6.8956787661077368E-3</v>
      </c>
      <c r="AC82" s="3">
        <f t="shared" si="27"/>
        <v>-1.4262625013607386</v>
      </c>
      <c r="AD82" s="3">
        <f t="shared" si="28"/>
        <v>1.5776920602108711</v>
      </c>
      <c r="AE82" s="3">
        <f>IF(AC82="","",MOD(AC82+Geometry!$C$47*AD82+PI(),2*PI())-PI())</f>
        <v>0.15142955885013265</v>
      </c>
      <c r="AF82" s="3" t="b">
        <f t="shared" si="29"/>
        <v>1</v>
      </c>
      <c r="AG82" s="3">
        <f>IF(AF82=FALSE,"",IF((Geometry!$C$28*COS(AE82)+Geometry!$C$32*SIN(AE82)+Geometry!$C$8*Geometry!$C$30*(1-COS(AE82)))&gt;=0,1,-1)*ACOS(MAX(-1,MIN(1,(Geometry!$C$27*COS(AE82)+Geometry!$C$31*SIN(AE82)+Geometry!$C$7*Geometry!$C$30*(1-COS(AE82)))/SQRT((Geometry!$C$27*COS(AE82)+Geometry!$C$31*SIN(AE82)+Geometry!$C$7*Geometry!$C$30*(1-COS(AE82)))^2+(Geometry!$C$28*COS(AE82)+Geometry!$C$32*SIN(AE82)+Geometry!$C$8*Geometry!$C$30*(1-COS(AE82)))^2))))*180/PI())</f>
        <v>8.5098851256334456</v>
      </c>
    </row>
    <row r="83" spans="1:33">
      <c r="A83" s="3">
        <f>IF(Inputs!$E$9+81*Inputs!$E$11&lt;=Inputs!$E$10,Inputs!$E$9+81*Inputs!$E$11,"")</f>
        <v>21</v>
      </c>
      <c r="B83" s="3">
        <f>IF(NOT(ISNUMBER($A83)),"",Inputs!$B$17+$A83*Inputs!$E$6/SQRT(Inputs!$E$6^2+Inputs!$E$7^2+Inputs!$E$8^2))</f>
        <v>919.87300000000005</v>
      </c>
      <c r="C83" s="3">
        <f>IF(NOT(ISNUMBER($A83)),"",Inputs!$C$17+$A83*Inputs!$E$7/SQRT(Inputs!$E$6^2+Inputs!$E$7^2+Inputs!$E$8^2))</f>
        <v>278.45400000000001</v>
      </c>
      <c r="D83" s="3">
        <f>IF(NOT(ISNUMBER($A83)),"",Inputs!$D$17+$A83*Inputs!$E$8/SQRT(Inputs!$E$6^2+Inputs!$E$7^2+Inputs!$E$8^2))</f>
        <v>182.18899999999999</v>
      </c>
      <c r="E83" s="3">
        <f>IF(NOT(ISNUMBER($A83)),"",Inputs!$B$15+Geometry!$B$15-B83)</f>
        <v>-24.932661268328502</v>
      </c>
      <c r="F83" s="3">
        <f>IF(NOT(ISNUMBER($A83)),"",Inputs!$C$15+Geometry!$B$16-C83)</f>
        <v>162.76798447238372</v>
      </c>
      <c r="G83" s="3">
        <f>IF(NOT(ISNUMBER($A83)),"",Inputs!$D$15+Geometry!$B$17-D83)</f>
        <v>11.015351937228701</v>
      </c>
      <c r="H83" s="3">
        <f>IF(NOT(ISNUMBER($A83)),"",2*(E83*Geometry!$B$18+F83*Geometry!$B$19+G83*Geometry!$B$20))</f>
        <v>5707.9650230856842</v>
      </c>
      <c r="I83" s="3">
        <f>IF(NOT(ISNUMBER($A83)),"",2*(E83*Geometry!$B$21+F83*Geometry!$B$22+G83*Geometry!$B$23))</f>
        <v>49177.759487007774</v>
      </c>
      <c r="J83" s="3">
        <f>IF(NOT(ISNUMBER($A83)),"",Geometry!$B$24^2-(E83^2+F83^2+G83^2)-(Geometry!$B$18^2+Geometry!$B$19^2+Geometry!$B$20^2))</f>
        <v>14603.439023085695</v>
      </c>
      <c r="K83" s="3">
        <f t="shared" si="20"/>
        <v>49507.90737717312</v>
      </c>
      <c r="L83" s="3">
        <f t="shared" si="21"/>
        <v>0.29497184988713504</v>
      </c>
      <c r="M83" s="3">
        <f t="shared" si="22"/>
        <v>1.4552453513638532</v>
      </c>
      <c r="N83" s="3">
        <f t="shared" si="23"/>
        <v>1.2713702692088105</v>
      </c>
      <c r="O83" s="3">
        <f>IF(M83="","",MOD(M83+Geometry!$B$47*N83+PI(),2*PI())-PI())</f>
        <v>0.18387508215504278</v>
      </c>
      <c r="P83" s="3" t="b">
        <f t="shared" si="24"/>
        <v>1</v>
      </c>
      <c r="Q83" s="3">
        <f>IF(P83=FALSE,"",IF((Geometry!$B$28*COS(O83)+Geometry!$B$32*SIN(O83)+Geometry!$B$8*Geometry!$B$30*(1-COS(O83)))&gt;=0,1,-1)*ACOS(MAX(-1,MIN(1,(Geometry!$B$27*COS(O83)+Geometry!$B$31*SIN(O83)+Geometry!$B$7*Geometry!$B$30*(1-COS(O83)))/SQRT((Geometry!$B$27*COS(O83)+Geometry!$B$31*SIN(O83)+Geometry!$B$7*Geometry!$B$30*(1-COS(O83)))^2+(Geometry!$B$28*COS(O83)+Geometry!$B$32*SIN(O83)+Geometry!$B$8*Geometry!$B$30*(1-COS(O83)))^2))))*180/PI())</f>
        <v>10.35595383203815</v>
      </c>
      <c r="R83" s="3">
        <f>IF(NOT(ISNUMBER($A83)),"",Inputs!$B$21+$A83*Inputs!$E$6/SQRT(Inputs!$E$6^2+Inputs!$E$7^2+Inputs!$E$8^2))</f>
        <v>919.87300000000005</v>
      </c>
      <c r="S83" s="3">
        <f>IF(NOT(ISNUMBER($A83)),"",Inputs!$C$21+$A83*Inputs!$E$7/SQRT(Inputs!$E$6^2+Inputs!$E$7^2+Inputs!$E$8^2))</f>
        <v>-236.45400000000001</v>
      </c>
      <c r="T83" s="3">
        <f>IF(NOT(ISNUMBER($A83)),"",Inputs!$D$21+$A83*Inputs!$E$8/SQRT(Inputs!$E$6^2+Inputs!$E$7^2+Inputs!$E$8^2))</f>
        <v>182.18899999999999</v>
      </c>
      <c r="U83" s="3">
        <f>IF(NOT(ISNUMBER($A83)),"",Inputs!$B$19+Geometry!$C$15-R83)</f>
        <v>-24.932661268328502</v>
      </c>
      <c r="V83" s="3">
        <f>IF(NOT(ISNUMBER($A83)),"",Inputs!$C$19+Geometry!$C$16-S83)</f>
        <v>-204.76798447238372</v>
      </c>
      <c r="W83" s="3">
        <f>IF(NOT(ISNUMBER($A83)),"",Inputs!$D$19+Geometry!$C$17-T83)</f>
        <v>11.015351937228701</v>
      </c>
      <c r="X83" s="3">
        <f>IF(NOT(ISNUMBER($A83)),"",2*(U83*Geometry!$C$18+V83*Geometry!$C$19+W83*Geometry!$C$20))</f>
        <v>8944.4023274054489</v>
      </c>
      <c r="Y83" s="3">
        <f>IF(NOT(ISNUMBER($A83)),"",2*(U83*Geometry!$C$21+V83*Geometry!$C$22+W83*Geometry!$C$23))</f>
        <v>-61210.018797902041</v>
      </c>
      <c r="Z83" s="3">
        <f>IF(NOT(ISNUMBER($A83)),"",Geometry!$C$24^2-(U83^2+V83^2+W83^2)-(Geometry!$C$18^2+Geometry!$C$19^2+Geometry!$C$20^2))</f>
        <v>-833.07167259453854</v>
      </c>
      <c r="AA83" s="3">
        <f t="shared" si="25"/>
        <v>61860.073829846151</v>
      </c>
      <c r="AB83" s="3">
        <f t="shared" si="26"/>
        <v>-1.3467033273933783E-2</v>
      </c>
      <c r="AC83" s="3">
        <f t="shared" si="27"/>
        <v>-1.4256968346934531</v>
      </c>
      <c r="AD83" s="3">
        <f t="shared" si="28"/>
        <v>1.5842637671677926</v>
      </c>
      <c r="AE83" s="3">
        <f>IF(AC83="","",MOD(AC83+Geometry!$C$47*AD83+PI(),2*PI())-PI())</f>
        <v>0.15856693247433951</v>
      </c>
      <c r="AF83" s="3" t="b">
        <f t="shared" si="29"/>
        <v>1</v>
      </c>
      <c r="AG83" s="3">
        <f>IF(AF83=FALSE,"",IF((Geometry!$C$28*COS(AE83)+Geometry!$C$32*SIN(AE83)+Geometry!$C$8*Geometry!$C$30*(1-COS(AE83)))&gt;=0,1,-1)*ACOS(MAX(-1,MIN(1,(Geometry!$C$27*COS(AE83)+Geometry!$C$31*SIN(AE83)+Geometry!$C$7*Geometry!$C$30*(1-COS(AE83)))/SQRT((Geometry!$C$27*COS(AE83)+Geometry!$C$31*SIN(AE83)+Geometry!$C$7*Geometry!$C$30*(1-COS(AE83)))^2+(Geometry!$C$28*COS(AE83)+Geometry!$C$32*SIN(AE83)+Geometry!$C$8*Geometry!$C$30*(1-COS(AE83)))^2))))*180/PI())</f>
        <v>8.9107871055861718</v>
      </c>
    </row>
    <row r="84" spans="1:33">
      <c r="A84" s="3">
        <f>IF(Inputs!$E$9+82*Inputs!$E$11&lt;=Inputs!$E$10,Inputs!$E$9+82*Inputs!$E$11,"")</f>
        <v>22</v>
      </c>
      <c r="B84" s="3">
        <f>IF(NOT(ISNUMBER($A84)),"",Inputs!$B$17+$A84*Inputs!$E$6/SQRT(Inputs!$E$6^2+Inputs!$E$7^2+Inputs!$E$8^2))</f>
        <v>919.87300000000005</v>
      </c>
      <c r="C84" s="3">
        <f>IF(NOT(ISNUMBER($A84)),"",Inputs!$C$17+$A84*Inputs!$E$7/SQRT(Inputs!$E$6^2+Inputs!$E$7^2+Inputs!$E$8^2))</f>
        <v>279.45400000000001</v>
      </c>
      <c r="D84" s="3">
        <f>IF(NOT(ISNUMBER($A84)),"",Inputs!$D$17+$A84*Inputs!$E$8/SQRT(Inputs!$E$6^2+Inputs!$E$7^2+Inputs!$E$8^2))</f>
        <v>182.18899999999999</v>
      </c>
      <c r="E84" s="3">
        <f>IF(NOT(ISNUMBER($A84)),"",Inputs!$B$15+Geometry!$B$15-B84)</f>
        <v>-24.932661268328502</v>
      </c>
      <c r="F84" s="3">
        <f>IF(NOT(ISNUMBER($A84)),"",Inputs!$C$15+Geometry!$B$16-C84)</f>
        <v>161.76798447238372</v>
      </c>
      <c r="G84" s="3">
        <f>IF(NOT(ISNUMBER($A84)),"",Inputs!$D$15+Geometry!$B$17-D84)</f>
        <v>11.015351937228701</v>
      </c>
      <c r="H84" s="3">
        <f>IF(NOT(ISNUMBER($A84)),"",2*(E84*Geometry!$B$18+F84*Geometry!$B$19+G84*Geometry!$B$20))</f>
        <v>5630.9069920304519</v>
      </c>
      <c r="I84" s="3">
        <f>IF(NOT(ISNUMBER($A84)),"",2*(E84*Geometry!$B$21+F84*Geometry!$B$22+G84*Geometry!$B$23))</f>
        <v>48891.27712246267</v>
      </c>
      <c r="J84" s="3">
        <f>IF(NOT(ISNUMBER($A84)),"",Geometry!$B$24^2-(E84^2+F84^2+G84^2)-(Geometry!$B$18^2+Geometry!$B$19^2+Geometry!$B$20^2))</f>
        <v>14927.97499203046</v>
      </c>
      <c r="K84" s="3">
        <f t="shared" si="20"/>
        <v>49214.470353934921</v>
      </c>
      <c r="L84" s="3">
        <f t="shared" si="21"/>
        <v>0.30332491408874629</v>
      </c>
      <c r="M84" s="3">
        <f t="shared" si="22"/>
        <v>1.4561295317340841</v>
      </c>
      <c r="N84" s="3">
        <f t="shared" si="23"/>
        <v>1.2626162963363057</v>
      </c>
      <c r="O84" s="3">
        <f>IF(M84="","",MOD(M84+Geometry!$B$47*N84+PI(),2*PI())-PI())</f>
        <v>0.19351323539777843</v>
      </c>
      <c r="P84" s="3" t="b">
        <f t="shared" si="24"/>
        <v>1</v>
      </c>
      <c r="Q84" s="3">
        <f>IF(P84=FALSE,"",IF((Geometry!$B$28*COS(O84)+Geometry!$B$32*SIN(O84)+Geometry!$B$8*Geometry!$B$30*(1-COS(O84)))&gt;=0,1,-1)*ACOS(MAX(-1,MIN(1,(Geometry!$B$27*COS(O84)+Geometry!$B$31*SIN(O84)+Geometry!$B$7*Geometry!$B$30*(1-COS(O84)))/SQRT((Geometry!$B$27*COS(O84)+Geometry!$B$31*SIN(O84)+Geometry!$B$7*Geometry!$B$30*(1-COS(O84)))^2+(Geometry!$B$28*COS(O84)+Geometry!$B$32*SIN(O84)+Geometry!$B$8*Geometry!$B$30*(1-COS(O84)))^2))))*180/PI())</f>
        <v>10.899788065429973</v>
      </c>
      <c r="R84" s="3">
        <f>IF(NOT(ISNUMBER($A84)),"",Inputs!$B$21+$A84*Inputs!$E$6/SQRT(Inputs!$E$6^2+Inputs!$E$7^2+Inputs!$E$8^2))</f>
        <v>919.87300000000005</v>
      </c>
      <c r="S84" s="3">
        <f>IF(NOT(ISNUMBER($A84)),"",Inputs!$C$21+$A84*Inputs!$E$7/SQRT(Inputs!$E$6^2+Inputs!$E$7^2+Inputs!$E$8^2))</f>
        <v>-235.45400000000001</v>
      </c>
      <c r="T84" s="3">
        <f>IF(NOT(ISNUMBER($A84)),"",Inputs!$D$21+$A84*Inputs!$E$8/SQRT(Inputs!$E$6^2+Inputs!$E$7^2+Inputs!$E$8^2))</f>
        <v>182.18899999999999</v>
      </c>
      <c r="U84" s="3">
        <f>IF(NOT(ISNUMBER($A84)),"",Inputs!$B$19+Geometry!$C$15-R84)</f>
        <v>-24.932661268328502</v>
      </c>
      <c r="V84" s="3">
        <f>IF(NOT(ISNUMBER($A84)),"",Inputs!$C$19+Geometry!$C$16-S84)</f>
        <v>-205.76798447238372</v>
      </c>
      <c r="W84" s="3">
        <f>IF(NOT(ISNUMBER($A84)),"",Inputs!$D$19+Geometry!$C$17-T84)</f>
        <v>11.015351937228701</v>
      </c>
      <c r="X84" s="3">
        <f>IF(NOT(ISNUMBER($A84)),"",2*(U84*Geometry!$C$18+V84*Geometry!$C$19+W84*Geometry!$C$20))</f>
        <v>9021.4603584606812</v>
      </c>
      <c r="Y84" s="3">
        <f>IF(NOT(ISNUMBER($A84)),"",2*(U84*Geometry!$C$21+V84*Geometry!$C$22+W84*Geometry!$C$23))</f>
        <v>-61496.501162447144</v>
      </c>
      <c r="Z84" s="3">
        <f>IF(NOT(ISNUMBER($A84)),"",Geometry!$C$24^2-(U84^2+V84^2+W84^2)-(Geometry!$C$18^2+Geometry!$C$19^2+Geometry!$C$20^2))</f>
        <v>-1243.6076415393036</v>
      </c>
      <c r="AA84" s="3">
        <f t="shared" si="25"/>
        <v>62154.697346396439</v>
      </c>
      <c r="AB84" s="3">
        <f t="shared" si="26"/>
        <v>-2.000826477536383E-2</v>
      </c>
      <c r="AC84" s="3">
        <f t="shared" si="27"/>
        <v>-1.4251365305548918</v>
      </c>
      <c r="AD84" s="3">
        <f t="shared" si="28"/>
        <v>1.5908059267977857</v>
      </c>
      <c r="AE84" s="3">
        <f>IF(AC84="","",MOD(AC84+Geometry!$C$47*AD84+PI(),2*PI())-PI())</f>
        <v>0.1656693962428939</v>
      </c>
      <c r="AF84" s="3" t="b">
        <f t="shared" si="29"/>
        <v>1</v>
      </c>
      <c r="AG84" s="3">
        <f>IF(AF84=FALSE,"",IF((Geometry!$C$28*COS(AE84)+Geometry!$C$32*SIN(AE84)+Geometry!$C$8*Geometry!$C$30*(1-COS(AE84)))&gt;=0,1,-1)*ACOS(MAX(-1,MIN(1,(Geometry!$C$27*COS(AE84)+Geometry!$C$31*SIN(AE84)+Geometry!$C$7*Geometry!$C$30*(1-COS(AE84)))/SQRT((Geometry!$C$27*COS(AE84)+Geometry!$C$31*SIN(AE84)+Geometry!$C$7*Geometry!$C$30*(1-COS(AE84)))^2+(Geometry!$C$28*COS(AE84)+Geometry!$C$32*SIN(AE84)+Geometry!$C$8*Geometry!$C$30*(1-COS(AE84)))^2))))*180/PI())</f>
        <v>9.3097211202986383</v>
      </c>
    </row>
    <row r="85" spans="1:33">
      <c r="A85" s="3">
        <f>IF(Inputs!$E$9+83*Inputs!$E$11&lt;=Inputs!$E$10,Inputs!$E$9+83*Inputs!$E$11,"")</f>
        <v>23</v>
      </c>
      <c r="B85" s="3">
        <f>IF(NOT(ISNUMBER($A85)),"",Inputs!$B$17+$A85*Inputs!$E$6/SQRT(Inputs!$E$6^2+Inputs!$E$7^2+Inputs!$E$8^2))</f>
        <v>919.87300000000005</v>
      </c>
      <c r="C85" s="3">
        <f>IF(NOT(ISNUMBER($A85)),"",Inputs!$C$17+$A85*Inputs!$E$7/SQRT(Inputs!$E$6^2+Inputs!$E$7^2+Inputs!$E$8^2))</f>
        <v>280.45400000000001</v>
      </c>
      <c r="D85" s="3">
        <f>IF(NOT(ISNUMBER($A85)),"",Inputs!$D$17+$A85*Inputs!$E$8/SQRT(Inputs!$E$6^2+Inputs!$E$7^2+Inputs!$E$8^2))</f>
        <v>182.18899999999999</v>
      </c>
      <c r="E85" s="3">
        <f>IF(NOT(ISNUMBER($A85)),"",Inputs!$B$15+Geometry!$B$15-B85)</f>
        <v>-24.932661268328502</v>
      </c>
      <c r="F85" s="3">
        <f>IF(NOT(ISNUMBER($A85)),"",Inputs!$C$15+Geometry!$B$16-C85)</f>
        <v>160.76798447238372</v>
      </c>
      <c r="G85" s="3">
        <f>IF(NOT(ISNUMBER($A85)),"",Inputs!$D$15+Geometry!$B$17-D85)</f>
        <v>11.015351937228701</v>
      </c>
      <c r="H85" s="3">
        <f>IF(NOT(ISNUMBER($A85)),"",2*(E85*Geometry!$B$18+F85*Geometry!$B$19+G85*Geometry!$B$20))</f>
        <v>5553.8489609752178</v>
      </c>
      <c r="I85" s="3">
        <f>IF(NOT(ISNUMBER($A85)),"",2*(E85*Geometry!$B$21+F85*Geometry!$B$22+G85*Geometry!$B$23))</f>
        <v>48604.794757917567</v>
      </c>
      <c r="J85" s="3">
        <f>IF(NOT(ISNUMBER($A85)),"",Geometry!$B$24^2-(E85^2+F85^2+G85^2)-(Geometry!$B$18^2+Geometry!$B$19^2+Geometry!$B$20^2))</f>
        <v>15250.510960975225</v>
      </c>
      <c r="K85" s="3">
        <f t="shared" si="20"/>
        <v>48921.07226687306</v>
      </c>
      <c r="L85" s="3">
        <f t="shared" si="21"/>
        <v>0.31173705428574838</v>
      </c>
      <c r="M85" s="3">
        <f t="shared" si="22"/>
        <v>1.4570243183359184</v>
      </c>
      <c r="N85" s="3">
        <f t="shared" si="23"/>
        <v>1.253775687154429</v>
      </c>
      <c r="O85" s="3">
        <f>IF(M85="","",MOD(M85+Geometry!$B$47*N85+PI(),2*PI())-PI())</f>
        <v>0.20324863118148961</v>
      </c>
      <c r="P85" s="3" t="b">
        <f t="shared" si="24"/>
        <v>1</v>
      </c>
      <c r="Q85" s="3">
        <f>IF(P85=FALSE,"",IF((Geometry!$B$28*COS(O85)+Geometry!$B$32*SIN(O85)+Geometry!$B$8*Geometry!$B$30*(1-COS(O85)))&gt;=0,1,-1)*ACOS(MAX(-1,MIN(1,(Geometry!$B$27*COS(O85)+Geometry!$B$31*SIN(O85)+Geometry!$B$7*Geometry!$B$30*(1-COS(O85)))/SQRT((Geometry!$B$27*COS(O85)+Geometry!$B$31*SIN(O85)+Geometry!$B$7*Geometry!$B$30*(1-COS(O85)))^2+(Geometry!$B$28*COS(O85)+Geometry!$B$32*SIN(O85)+Geometry!$B$8*Geometry!$B$30*(1-COS(O85)))^2))))*180/PI())</f>
        <v>11.449227041613382</v>
      </c>
      <c r="R85" s="3">
        <f>IF(NOT(ISNUMBER($A85)),"",Inputs!$B$21+$A85*Inputs!$E$6/SQRT(Inputs!$E$6^2+Inputs!$E$7^2+Inputs!$E$8^2))</f>
        <v>919.87300000000005</v>
      </c>
      <c r="S85" s="3">
        <f>IF(NOT(ISNUMBER($A85)),"",Inputs!$C$21+$A85*Inputs!$E$7/SQRT(Inputs!$E$6^2+Inputs!$E$7^2+Inputs!$E$8^2))</f>
        <v>-234.45400000000001</v>
      </c>
      <c r="T85" s="3">
        <f>IF(NOT(ISNUMBER($A85)),"",Inputs!$D$21+$A85*Inputs!$E$8/SQRT(Inputs!$E$6^2+Inputs!$E$7^2+Inputs!$E$8^2))</f>
        <v>182.18899999999999</v>
      </c>
      <c r="U85" s="3">
        <f>IF(NOT(ISNUMBER($A85)),"",Inputs!$B$19+Geometry!$C$15-R85)</f>
        <v>-24.932661268328502</v>
      </c>
      <c r="V85" s="3">
        <f>IF(NOT(ISNUMBER($A85)),"",Inputs!$C$19+Geometry!$C$16-S85)</f>
        <v>-206.76798447238372</v>
      </c>
      <c r="W85" s="3">
        <f>IF(NOT(ISNUMBER($A85)),"",Inputs!$D$19+Geometry!$C$17-T85)</f>
        <v>11.015351937228701</v>
      </c>
      <c r="X85" s="3">
        <f>IF(NOT(ISNUMBER($A85)),"",2*(U85*Geometry!$C$18+V85*Geometry!$C$19+W85*Geometry!$C$20))</f>
        <v>9098.5183895159134</v>
      </c>
      <c r="Y85" s="3">
        <f>IF(NOT(ISNUMBER($A85)),"",2*(U85*Geometry!$C$21+V85*Geometry!$C$22+W85*Geometry!$C$23))</f>
        <v>-61782.983526992248</v>
      </c>
      <c r="Z85" s="3">
        <f>IF(NOT(ISNUMBER($A85)),"",Geometry!$C$24^2-(U85^2+V85^2+W85^2)-(Geometry!$C$18^2+Geometry!$C$19^2+Geometry!$C$20^2))</f>
        <v>-1656.1436104840759</v>
      </c>
      <c r="AA85" s="3">
        <f t="shared" si="25"/>
        <v>62449.340191718235</v>
      </c>
      <c r="AB85" s="3">
        <f t="shared" si="26"/>
        <v>-2.6519793570272288E-2</v>
      </c>
      <c r="AC85" s="3">
        <f t="shared" si="27"/>
        <v>-1.4245815133963742</v>
      </c>
      <c r="AD85" s="3">
        <f t="shared" si="28"/>
        <v>1.5973192299087691</v>
      </c>
      <c r="AE85" s="3">
        <f>IF(AC85="","",MOD(AC85+Geometry!$C$47*AD85+PI(),2*PI())-PI())</f>
        <v>0.17273771651239489</v>
      </c>
      <c r="AF85" s="3" t="b">
        <f t="shared" si="29"/>
        <v>1</v>
      </c>
      <c r="AG85" s="3">
        <f>IF(AF85=FALSE,"",IF((Geometry!$C$28*COS(AE85)+Geometry!$C$32*SIN(AE85)+Geometry!$C$8*Geometry!$C$30*(1-COS(AE85)))&gt;=0,1,-1)*ACOS(MAX(-1,MIN(1,(Geometry!$C$27*COS(AE85)+Geometry!$C$31*SIN(AE85)+Geometry!$C$7*Geometry!$C$30*(1-COS(AE85)))/SQRT((Geometry!$C$27*COS(AE85)+Geometry!$C$31*SIN(AE85)+Geometry!$C$7*Geometry!$C$30*(1-COS(AE85)))^2+(Geometry!$C$28*COS(AE85)+Geometry!$C$32*SIN(AE85)+Geometry!$C$8*Geometry!$C$30*(1-COS(AE85)))^2))))*180/PI())</f>
        <v>9.7067317030843032</v>
      </c>
    </row>
    <row r="86" spans="1:33">
      <c r="A86" s="3">
        <f>IF(Inputs!$E$9+84*Inputs!$E$11&lt;=Inputs!$E$10,Inputs!$E$9+84*Inputs!$E$11,"")</f>
        <v>24</v>
      </c>
      <c r="B86" s="3">
        <f>IF(NOT(ISNUMBER($A86)),"",Inputs!$B$17+$A86*Inputs!$E$6/SQRT(Inputs!$E$6^2+Inputs!$E$7^2+Inputs!$E$8^2))</f>
        <v>919.87300000000005</v>
      </c>
      <c r="C86" s="3">
        <f>IF(NOT(ISNUMBER($A86)),"",Inputs!$C$17+$A86*Inputs!$E$7/SQRT(Inputs!$E$6^2+Inputs!$E$7^2+Inputs!$E$8^2))</f>
        <v>281.45400000000001</v>
      </c>
      <c r="D86" s="3">
        <f>IF(NOT(ISNUMBER($A86)),"",Inputs!$D$17+$A86*Inputs!$E$8/SQRT(Inputs!$E$6^2+Inputs!$E$7^2+Inputs!$E$8^2))</f>
        <v>182.18899999999999</v>
      </c>
      <c r="E86" s="3">
        <f>IF(NOT(ISNUMBER($A86)),"",Inputs!$B$15+Geometry!$B$15-B86)</f>
        <v>-24.932661268328502</v>
      </c>
      <c r="F86" s="3">
        <f>IF(NOT(ISNUMBER($A86)),"",Inputs!$C$15+Geometry!$B$16-C86)</f>
        <v>159.76798447238372</v>
      </c>
      <c r="G86" s="3">
        <f>IF(NOT(ISNUMBER($A86)),"",Inputs!$D$15+Geometry!$B$17-D86)</f>
        <v>11.015351937228701</v>
      </c>
      <c r="H86" s="3">
        <f>IF(NOT(ISNUMBER($A86)),"",2*(E86*Geometry!$B$18+F86*Geometry!$B$19+G86*Geometry!$B$20))</f>
        <v>5476.7909299199855</v>
      </c>
      <c r="I86" s="3">
        <f>IF(NOT(ISNUMBER($A86)),"",2*(E86*Geometry!$B$21+F86*Geometry!$B$22+G86*Geometry!$B$23))</f>
        <v>48318.312393372464</v>
      </c>
      <c r="J86" s="3">
        <f>IF(NOT(ISNUMBER($A86)),"",Geometry!$B$24^2-(E86^2+F86^2+G86^2)-(Geometry!$B$18^2+Geometry!$B$19^2+Geometry!$B$20^2))</f>
        <v>15571.04692991999</v>
      </c>
      <c r="K86" s="3">
        <f t="shared" si="20"/>
        <v>48627.713820758472</v>
      </c>
      <c r="L86" s="3">
        <f t="shared" si="21"/>
        <v>0.32020931494568711</v>
      </c>
      <c r="M86" s="3">
        <f t="shared" si="22"/>
        <v>1.4579299017033382</v>
      </c>
      <c r="N86" s="3">
        <f t="shared" si="23"/>
        <v>1.2448458991563074</v>
      </c>
      <c r="O86" s="3">
        <f>IF(M86="","",MOD(M86+Geometry!$B$47*N86+PI(),2*PI())-PI())</f>
        <v>0.21308400254703086</v>
      </c>
      <c r="P86" s="3" t="b">
        <f t="shared" si="24"/>
        <v>1</v>
      </c>
      <c r="Q86" s="3">
        <f>IF(P86=FALSE,"",IF((Geometry!$B$28*COS(O86)+Geometry!$B$32*SIN(O86)+Geometry!$B$8*Geometry!$B$30*(1-COS(O86)))&gt;=0,1,-1)*ACOS(MAX(-1,MIN(1,(Geometry!$B$27*COS(O86)+Geometry!$B$31*SIN(O86)+Geometry!$B$7*Geometry!$B$30*(1-COS(O86)))/SQRT((Geometry!$B$27*COS(O86)+Geometry!$B$31*SIN(O86)+Geometry!$B$7*Geometry!$B$30*(1-COS(O86)))^2+(Geometry!$B$28*COS(O86)+Geometry!$B$32*SIN(O86)+Geometry!$B$8*Geometry!$B$30*(1-COS(O86)))^2))))*180/PI())</f>
        <v>12.0044306247351</v>
      </c>
      <c r="R86" s="3">
        <f>IF(NOT(ISNUMBER($A86)),"",Inputs!$B$21+$A86*Inputs!$E$6/SQRT(Inputs!$E$6^2+Inputs!$E$7^2+Inputs!$E$8^2))</f>
        <v>919.87300000000005</v>
      </c>
      <c r="S86" s="3">
        <f>IF(NOT(ISNUMBER($A86)),"",Inputs!$C$21+$A86*Inputs!$E$7/SQRT(Inputs!$E$6^2+Inputs!$E$7^2+Inputs!$E$8^2))</f>
        <v>-233.45400000000001</v>
      </c>
      <c r="T86" s="3">
        <f>IF(NOT(ISNUMBER($A86)),"",Inputs!$D$21+$A86*Inputs!$E$8/SQRT(Inputs!$E$6^2+Inputs!$E$7^2+Inputs!$E$8^2))</f>
        <v>182.18899999999999</v>
      </c>
      <c r="U86" s="3">
        <f>IF(NOT(ISNUMBER($A86)),"",Inputs!$B$19+Geometry!$C$15-R86)</f>
        <v>-24.932661268328502</v>
      </c>
      <c r="V86" s="3">
        <f>IF(NOT(ISNUMBER($A86)),"",Inputs!$C$19+Geometry!$C$16-S86)</f>
        <v>-207.76798447238372</v>
      </c>
      <c r="W86" s="3">
        <f>IF(NOT(ISNUMBER($A86)),"",Inputs!$D$19+Geometry!$C$17-T86)</f>
        <v>11.015351937228701</v>
      </c>
      <c r="X86" s="3">
        <f>IF(NOT(ISNUMBER($A86)),"",2*(U86*Geometry!$C$18+V86*Geometry!$C$19+W86*Geometry!$C$20))</f>
        <v>9175.5764205711457</v>
      </c>
      <c r="Y86" s="3">
        <f>IF(NOT(ISNUMBER($A86)),"",2*(U86*Geometry!$C$21+V86*Geometry!$C$22+W86*Geometry!$C$23))</f>
        <v>-62069.465891537351</v>
      </c>
      <c r="Z86" s="3">
        <f>IF(NOT(ISNUMBER($A86)),"",Geometry!$C$24^2-(U86^2+V86^2+W86^2)-(Geometry!$C$18^2+Geometry!$C$19^2+Geometry!$C$20^2))</f>
        <v>-2070.679579428841</v>
      </c>
      <c r="AA86" s="3">
        <f t="shared" si="25"/>
        <v>62744.002093510579</v>
      </c>
      <c r="AB86" s="3">
        <f t="shared" si="26"/>
        <v>-3.300203223158768E-2</v>
      </c>
      <c r="AC86" s="3">
        <f t="shared" si="27"/>
        <v>-1.4240317090752348</v>
      </c>
      <c r="AD86" s="3">
        <f t="shared" si="28"/>
        <v>1.6038043525710657</v>
      </c>
      <c r="AE86" s="3">
        <f>IF(AC86="","",MOD(AC86+Geometry!$C$47*AD86+PI(),2*PI())-PI())</f>
        <v>0.17977264349583066</v>
      </c>
      <c r="AF86" s="3" t="b">
        <f t="shared" si="29"/>
        <v>1</v>
      </c>
      <c r="AG86" s="3">
        <f>IF(AF86=FALSE,"",IF((Geometry!$C$28*COS(AE86)+Geometry!$C$32*SIN(AE86)+Geometry!$C$8*Geometry!$C$30*(1-COS(AE86)))&gt;=0,1,-1)*ACOS(MAX(-1,MIN(1,(Geometry!$C$27*COS(AE86)+Geometry!$C$31*SIN(AE86)+Geometry!$C$7*Geometry!$C$30*(1-COS(AE86)))/SQRT((Geometry!$C$27*COS(AE86)+Geometry!$C$31*SIN(AE86)+Geometry!$C$7*Geometry!$C$30*(1-COS(AE86)))^2+(Geometry!$C$28*COS(AE86)+Geometry!$C$32*SIN(AE86)+Geometry!$C$8*Geometry!$C$30*(1-COS(AE86)))^2))))*180/PI())</f>
        <v>10.10186244418631</v>
      </c>
    </row>
    <row r="87" spans="1:33">
      <c r="A87" s="3">
        <f>IF(Inputs!$E$9+85*Inputs!$E$11&lt;=Inputs!$E$10,Inputs!$E$9+85*Inputs!$E$11,"")</f>
        <v>25</v>
      </c>
      <c r="B87" s="3">
        <f>IF(NOT(ISNUMBER($A87)),"",Inputs!$B$17+$A87*Inputs!$E$6/SQRT(Inputs!$E$6^2+Inputs!$E$7^2+Inputs!$E$8^2))</f>
        <v>919.87300000000005</v>
      </c>
      <c r="C87" s="3">
        <f>IF(NOT(ISNUMBER($A87)),"",Inputs!$C$17+$A87*Inputs!$E$7/SQRT(Inputs!$E$6^2+Inputs!$E$7^2+Inputs!$E$8^2))</f>
        <v>282.45400000000001</v>
      </c>
      <c r="D87" s="3">
        <f>IF(NOT(ISNUMBER($A87)),"",Inputs!$D$17+$A87*Inputs!$E$8/SQRT(Inputs!$E$6^2+Inputs!$E$7^2+Inputs!$E$8^2))</f>
        <v>182.18899999999999</v>
      </c>
      <c r="E87" s="3">
        <f>IF(NOT(ISNUMBER($A87)),"",Inputs!$B$15+Geometry!$B$15-B87)</f>
        <v>-24.932661268328502</v>
      </c>
      <c r="F87" s="3">
        <f>IF(NOT(ISNUMBER($A87)),"",Inputs!$C$15+Geometry!$B$16-C87)</f>
        <v>158.76798447238372</v>
      </c>
      <c r="G87" s="3">
        <f>IF(NOT(ISNUMBER($A87)),"",Inputs!$D$15+Geometry!$B$17-D87)</f>
        <v>11.015351937228701</v>
      </c>
      <c r="H87" s="3">
        <f>IF(NOT(ISNUMBER($A87)),"",2*(E87*Geometry!$B$18+F87*Geometry!$B$19+G87*Geometry!$B$20))</f>
        <v>5399.7328988647532</v>
      </c>
      <c r="I87" s="3">
        <f>IF(NOT(ISNUMBER($A87)),"",2*(E87*Geometry!$B$21+F87*Geometry!$B$22+G87*Geometry!$B$23))</f>
        <v>48031.83002882736</v>
      </c>
      <c r="J87" s="3">
        <f>IF(NOT(ISNUMBER($A87)),"",Geometry!$B$24^2-(E87^2+F87^2+G87^2)-(Geometry!$B$18^2+Geometry!$B$19^2+Geometry!$B$20^2))</f>
        <v>15889.582898864763</v>
      </c>
      <c r="K87" s="3">
        <f t="shared" si="20"/>
        <v>48334.395737375722</v>
      </c>
      <c r="L87" s="3">
        <f t="shared" si="21"/>
        <v>0.32874276499080685</v>
      </c>
      <c r="M87" s="3">
        <f t="shared" si="22"/>
        <v>1.4588464769254603</v>
      </c>
      <c r="N87" s="3">
        <f t="shared" si="23"/>
        <v>1.2358242857808692</v>
      </c>
      <c r="O87" s="3">
        <f>IF(M87="","",MOD(M87+Geometry!$B$47*N87+PI(),2*PI())-PI())</f>
        <v>0.2230221911445911</v>
      </c>
      <c r="P87" s="3" t="b">
        <f t="shared" si="24"/>
        <v>1</v>
      </c>
      <c r="Q87" s="3">
        <f>IF(P87=FALSE,"",IF((Geometry!$B$28*COS(O87)+Geometry!$B$32*SIN(O87)+Geometry!$B$8*Geometry!$B$30*(1-COS(O87)))&gt;=0,1,-1)*ACOS(MAX(-1,MIN(1,(Geometry!$B$27*COS(O87)+Geometry!$B$31*SIN(O87)+Geometry!$B$7*Geometry!$B$30*(1-COS(O87)))/SQRT((Geometry!$B$27*COS(O87)+Geometry!$B$31*SIN(O87)+Geometry!$B$7*Geometry!$B$30*(1-COS(O87)))^2+(Geometry!$B$28*COS(O87)+Geometry!$B$32*SIN(O87)+Geometry!$B$8*Geometry!$B$30*(1-COS(O87)))^2))))*180/PI())</f>
        <v>12.565565047020229</v>
      </c>
      <c r="R87" s="3">
        <f>IF(NOT(ISNUMBER($A87)),"",Inputs!$B$21+$A87*Inputs!$E$6/SQRT(Inputs!$E$6^2+Inputs!$E$7^2+Inputs!$E$8^2))</f>
        <v>919.87300000000005</v>
      </c>
      <c r="S87" s="3">
        <f>IF(NOT(ISNUMBER($A87)),"",Inputs!$C$21+$A87*Inputs!$E$7/SQRT(Inputs!$E$6^2+Inputs!$E$7^2+Inputs!$E$8^2))</f>
        <v>-232.45400000000001</v>
      </c>
      <c r="T87" s="3">
        <f>IF(NOT(ISNUMBER($A87)),"",Inputs!$D$21+$A87*Inputs!$E$8/SQRT(Inputs!$E$6^2+Inputs!$E$7^2+Inputs!$E$8^2))</f>
        <v>182.18899999999999</v>
      </c>
      <c r="U87" s="3">
        <f>IF(NOT(ISNUMBER($A87)),"",Inputs!$B$19+Geometry!$C$15-R87)</f>
        <v>-24.932661268328502</v>
      </c>
      <c r="V87" s="3">
        <f>IF(NOT(ISNUMBER($A87)),"",Inputs!$C$19+Geometry!$C$16-S87)</f>
        <v>-208.76798447238372</v>
      </c>
      <c r="W87" s="3">
        <f>IF(NOT(ISNUMBER($A87)),"",Inputs!$D$19+Geometry!$C$17-T87)</f>
        <v>11.015351937228701</v>
      </c>
      <c r="X87" s="3">
        <f>IF(NOT(ISNUMBER($A87)),"",2*(U87*Geometry!$C$18+V87*Geometry!$C$19+W87*Geometry!$C$20))</f>
        <v>9252.634451626378</v>
      </c>
      <c r="Y87" s="3">
        <f>IF(NOT(ISNUMBER($A87)),"",2*(U87*Geometry!$C$21+V87*Geometry!$C$22+W87*Geometry!$C$23))</f>
        <v>-62355.948256082454</v>
      </c>
      <c r="Z87" s="3">
        <f>IF(NOT(ISNUMBER($A87)),"",Geometry!$C$24^2-(U87^2+V87^2+W87^2)-(Geometry!$C$18^2+Geometry!$C$19^2+Geometry!$C$20^2))</f>
        <v>-2487.215548373606</v>
      </c>
      <c r="AA87" s="3">
        <f t="shared" si="25"/>
        <v>63038.682784546319</v>
      </c>
      <c r="AB87" s="3">
        <f t="shared" si="26"/>
        <v>-3.9455385780734251E-2</v>
      </c>
      <c r="AC87" s="3">
        <f t="shared" si="27"/>
        <v>-1.4234870448224157</v>
      </c>
      <c r="AD87" s="3">
        <f t="shared" si="28"/>
        <v>1.6102619566339593</v>
      </c>
      <c r="AE87" s="3">
        <f>IF(AC87="","",MOD(AC87+Geometry!$C$47*AD87+PI(),2*PI())-PI())</f>
        <v>0.18677491181154338</v>
      </c>
      <c r="AF87" s="3" t="b">
        <f t="shared" si="29"/>
        <v>1</v>
      </c>
      <c r="AG87" s="3">
        <f>IF(AF87=FALSE,"",IF((Geometry!$C$28*COS(AE87)+Geometry!$C$32*SIN(AE87)+Geometry!$C$8*Geometry!$C$30*(1-COS(AE87)))&gt;=0,1,-1)*ACOS(MAX(-1,MIN(1,(Geometry!$C$27*COS(AE87)+Geometry!$C$31*SIN(AE87)+Geometry!$C$7*Geometry!$C$30*(1-COS(AE87)))/SQRT((Geometry!$C$27*COS(AE87)+Geometry!$C$31*SIN(AE87)+Geometry!$C$7*Geometry!$C$30*(1-COS(AE87)))^2+(Geometry!$C$28*COS(AE87)+Geometry!$C$32*SIN(AE87)+Geometry!$C$8*Geometry!$C$30*(1-COS(AE87)))^2))))*180/PI())</f>
        <v>10.495156023085332</v>
      </c>
    </row>
    <row r="88" spans="1:33">
      <c r="A88" s="3">
        <f>IF(Inputs!$E$9+86*Inputs!$E$11&lt;=Inputs!$E$10,Inputs!$E$9+86*Inputs!$E$11,"")</f>
        <v>26</v>
      </c>
      <c r="B88" s="3">
        <f>IF(NOT(ISNUMBER($A88)),"",Inputs!$B$17+$A88*Inputs!$E$6/SQRT(Inputs!$E$6^2+Inputs!$E$7^2+Inputs!$E$8^2))</f>
        <v>919.87300000000005</v>
      </c>
      <c r="C88" s="3">
        <f>IF(NOT(ISNUMBER($A88)),"",Inputs!$C$17+$A88*Inputs!$E$7/SQRT(Inputs!$E$6^2+Inputs!$E$7^2+Inputs!$E$8^2))</f>
        <v>283.45400000000001</v>
      </c>
      <c r="D88" s="3">
        <f>IF(NOT(ISNUMBER($A88)),"",Inputs!$D$17+$A88*Inputs!$E$8/SQRT(Inputs!$E$6^2+Inputs!$E$7^2+Inputs!$E$8^2))</f>
        <v>182.18899999999999</v>
      </c>
      <c r="E88" s="3">
        <f>IF(NOT(ISNUMBER($A88)),"",Inputs!$B$15+Geometry!$B$15-B88)</f>
        <v>-24.932661268328502</v>
      </c>
      <c r="F88" s="3">
        <f>IF(NOT(ISNUMBER($A88)),"",Inputs!$C$15+Geometry!$B$16-C88)</f>
        <v>157.76798447238372</v>
      </c>
      <c r="G88" s="3">
        <f>IF(NOT(ISNUMBER($A88)),"",Inputs!$D$15+Geometry!$B$17-D88)</f>
        <v>11.015351937228701</v>
      </c>
      <c r="H88" s="3">
        <f>IF(NOT(ISNUMBER($A88)),"",2*(E88*Geometry!$B$18+F88*Geometry!$B$19+G88*Geometry!$B$20))</f>
        <v>5322.6748678095209</v>
      </c>
      <c r="I88" s="3">
        <f>IF(NOT(ISNUMBER($A88)),"",2*(E88*Geometry!$B$21+F88*Geometry!$B$22+G88*Geometry!$B$23))</f>
        <v>47745.347664282264</v>
      </c>
      <c r="J88" s="3">
        <f>IF(NOT(ISNUMBER($A88)),"",Geometry!$B$24^2-(E88^2+F88^2+G88^2)-(Geometry!$B$18^2+Geometry!$B$19^2+Geometry!$B$20^2))</f>
        <v>16206.118867809535</v>
      </c>
      <c r="K88" s="3">
        <f t="shared" si="20"/>
        <v>48041.118756036427</v>
      </c>
      <c r="L88" s="3">
        <f t="shared" si="21"/>
        <v>0.33733849850807679</v>
      </c>
      <c r="M88" s="3">
        <f t="shared" si="22"/>
        <v>1.4597742437823527</v>
      </c>
      <c r="N88" s="3">
        <f t="shared" si="23"/>
        <v>1.2267080903337559</v>
      </c>
      <c r="O88" s="3">
        <f>IF(M88="","",MOD(M88+Geometry!$B$47*N88+PI(),2*PI())-PI())</f>
        <v>0.23306615344859694</v>
      </c>
      <c r="P88" s="3" t="b">
        <f t="shared" si="24"/>
        <v>1</v>
      </c>
      <c r="Q88" s="3">
        <f>IF(P88=FALSE,"",IF((Geometry!$B$28*COS(O88)+Geometry!$B$32*SIN(O88)+Geometry!$B$8*Geometry!$B$30*(1-COS(O88)))&gt;=0,1,-1)*ACOS(MAX(-1,MIN(1,(Geometry!$B$27*COS(O88)+Geometry!$B$31*SIN(O88)+Geometry!$B$7*Geometry!$B$30*(1-COS(O88)))/SQRT((Geometry!$B$27*COS(O88)+Geometry!$B$31*SIN(O88)+Geometry!$B$7*Geometry!$B$30*(1-COS(O88)))^2+(Geometry!$B$28*COS(O88)+Geometry!$B$32*SIN(O88)+Geometry!$B$8*Geometry!$B$30*(1-COS(O88)))^2))))*180/PI())</f>
        <v>13.132803272122826</v>
      </c>
      <c r="R88" s="3">
        <f>IF(NOT(ISNUMBER($A88)),"",Inputs!$B$21+$A88*Inputs!$E$6/SQRT(Inputs!$E$6^2+Inputs!$E$7^2+Inputs!$E$8^2))</f>
        <v>919.87300000000005</v>
      </c>
      <c r="S88" s="3">
        <f>IF(NOT(ISNUMBER($A88)),"",Inputs!$C$21+$A88*Inputs!$E$7/SQRT(Inputs!$E$6^2+Inputs!$E$7^2+Inputs!$E$8^2))</f>
        <v>-231.45400000000001</v>
      </c>
      <c r="T88" s="3">
        <f>IF(NOT(ISNUMBER($A88)),"",Inputs!$D$21+$A88*Inputs!$E$8/SQRT(Inputs!$E$6^2+Inputs!$E$7^2+Inputs!$E$8^2))</f>
        <v>182.18899999999999</v>
      </c>
      <c r="U88" s="3">
        <f>IF(NOT(ISNUMBER($A88)),"",Inputs!$B$19+Geometry!$C$15-R88)</f>
        <v>-24.932661268328502</v>
      </c>
      <c r="V88" s="3">
        <f>IF(NOT(ISNUMBER($A88)),"",Inputs!$C$19+Geometry!$C$16-S88)</f>
        <v>-209.76798447238372</v>
      </c>
      <c r="W88" s="3">
        <f>IF(NOT(ISNUMBER($A88)),"",Inputs!$D$19+Geometry!$C$17-T88)</f>
        <v>11.015351937228701</v>
      </c>
      <c r="X88" s="3">
        <f>IF(NOT(ISNUMBER($A88)),"",2*(U88*Geometry!$C$18+V88*Geometry!$C$19+W88*Geometry!$C$20))</f>
        <v>9329.6924826816121</v>
      </c>
      <c r="Y88" s="3">
        <f>IF(NOT(ISNUMBER($A88)),"",2*(U88*Geometry!$C$21+V88*Geometry!$C$22+W88*Geometry!$C$23))</f>
        <v>-62642.430620627551</v>
      </c>
      <c r="Z88" s="3">
        <f>IF(NOT(ISNUMBER($A88)),"",Geometry!$C$24^2-(U88^2+V88^2+W88^2)-(Geometry!$C$18^2+Geometry!$C$19^2+Geometry!$C$20^2))</f>
        <v>-2905.7515173183783</v>
      </c>
      <c r="AA88" s="3">
        <f t="shared" si="25"/>
        <v>63333.382002554878</v>
      </c>
      <c r="AB88" s="3">
        <f t="shared" si="26"/>
        <v>-4.5880251858351095E-2</v>
      </c>
      <c r="AC88" s="3">
        <f t="shared" si="27"/>
        <v>-1.4229474492109506</v>
      </c>
      <c r="AD88" s="3">
        <f t="shared" si="28"/>
        <v>1.6166926902222418</v>
      </c>
      <c r="AE88" s="3">
        <f>IF(AC88="","",MOD(AC88+Geometry!$C$47*AD88+PI(),2*PI())-PI())</f>
        <v>0.1937452410112912</v>
      </c>
      <c r="AF88" s="3" t="b">
        <f t="shared" si="29"/>
        <v>1</v>
      </c>
      <c r="AG88" s="3">
        <f>IF(AF88=FALSE,"",IF((Geometry!$C$28*COS(AE88)+Geometry!$C$32*SIN(AE88)+Geometry!$C$8*Geometry!$C$30*(1-COS(AE88)))&gt;=0,1,-1)*ACOS(MAX(-1,MIN(1,(Geometry!$C$27*COS(AE88)+Geometry!$C$31*SIN(AE88)+Geometry!$C$7*Geometry!$C$30*(1-COS(AE88)))/SQRT((Geometry!$C$27*COS(AE88)+Geometry!$C$31*SIN(AE88)+Geometry!$C$7*Geometry!$C$30*(1-COS(AE88)))^2+(Geometry!$C$28*COS(AE88)+Geometry!$C$32*SIN(AE88)+Geometry!$C$8*Geometry!$C$30*(1-COS(AE88)))^2))))*180/PI())</f>
        <v>10.886654239577581</v>
      </c>
    </row>
    <row r="89" spans="1:33">
      <c r="A89" s="3">
        <f>IF(Inputs!$E$9+87*Inputs!$E$11&lt;=Inputs!$E$10,Inputs!$E$9+87*Inputs!$E$11,"")</f>
        <v>27</v>
      </c>
      <c r="B89" s="3">
        <f>IF(NOT(ISNUMBER($A89)),"",Inputs!$B$17+$A89*Inputs!$E$6/SQRT(Inputs!$E$6^2+Inputs!$E$7^2+Inputs!$E$8^2))</f>
        <v>919.87300000000005</v>
      </c>
      <c r="C89" s="3">
        <f>IF(NOT(ISNUMBER($A89)),"",Inputs!$C$17+$A89*Inputs!$E$7/SQRT(Inputs!$E$6^2+Inputs!$E$7^2+Inputs!$E$8^2))</f>
        <v>284.45400000000001</v>
      </c>
      <c r="D89" s="3">
        <f>IF(NOT(ISNUMBER($A89)),"",Inputs!$D$17+$A89*Inputs!$E$8/SQRT(Inputs!$E$6^2+Inputs!$E$7^2+Inputs!$E$8^2))</f>
        <v>182.18899999999999</v>
      </c>
      <c r="E89" s="3">
        <f>IF(NOT(ISNUMBER($A89)),"",Inputs!$B$15+Geometry!$B$15-B89)</f>
        <v>-24.932661268328502</v>
      </c>
      <c r="F89" s="3">
        <f>IF(NOT(ISNUMBER($A89)),"",Inputs!$C$15+Geometry!$B$16-C89)</f>
        <v>156.76798447238372</v>
      </c>
      <c r="G89" s="3">
        <f>IF(NOT(ISNUMBER($A89)),"",Inputs!$D$15+Geometry!$B$17-D89)</f>
        <v>11.015351937228701</v>
      </c>
      <c r="H89" s="3">
        <f>IF(NOT(ISNUMBER($A89)),"",2*(E89*Geometry!$B$18+F89*Geometry!$B$19+G89*Geometry!$B$20))</f>
        <v>5245.6168367542887</v>
      </c>
      <c r="I89" s="3">
        <f>IF(NOT(ISNUMBER($A89)),"",2*(E89*Geometry!$B$21+F89*Geometry!$B$22+G89*Geometry!$B$23))</f>
        <v>47458.865299737161</v>
      </c>
      <c r="J89" s="3">
        <f>IF(NOT(ISNUMBER($A89)),"",Geometry!$B$24^2-(E89^2+F89^2+G89^2)-(Geometry!$B$18^2+Geometry!$B$19^2+Geometry!$B$20^2))</f>
        <v>16520.6548367543</v>
      </c>
      <c r="K89" s="3">
        <f t="shared" si="20"/>
        <v>47747.883634111327</v>
      </c>
      <c r="L89" s="3">
        <f t="shared" si="21"/>
        <v>0.34599763548371937</v>
      </c>
      <c r="M89" s="3">
        <f t="shared" si="22"/>
        <v>1.4607134068856997</v>
      </c>
      <c r="N89" s="3">
        <f t="shared" si="23"/>
        <v>1.2174944394449605</v>
      </c>
      <c r="O89" s="3">
        <f>IF(M89="","",MOD(M89+Geometry!$B$47*N89+PI(),2*PI())-PI())</f>
        <v>0.24321896744073923</v>
      </c>
      <c r="P89" s="3" t="b">
        <f t="shared" si="24"/>
        <v>1</v>
      </c>
      <c r="Q89" s="3">
        <f>IF(P89=FALSE,"",IF((Geometry!$B$28*COS(O89)+Geometry!$B$32*SIN(O89)+Geometry!$B$8*Geometry!$B$30*(1-COS(O89)))&gt;=0,1,-1)*ACOS(MAX(-1,MIN(1,(Geometry!$B$27*COS(O89)+Geometry!$B$31*SIN(O89)+Geometry!$B$7*Geometry!$B$30*(1-COS(O89)))/SQRT((Geometry!$B$27*COS(O89)+Geometry!$B$31*SIN(O89)+Geometry!$B$7*Geometry!$B$30*(1-COS(O89)))^2+(Geometry!$B$28*COS(O89)+Geometry!$B$32*SIN(O89)+Geometry!$B$8*Geometry!$B$30*(1-COS(O89)))^2))))*180/PI())</f>
        <v>13.706325385704998</v>
      </c>
      <c r="R89" s="3">
        <f>IF(NOT(ISNUMBER($A89)),"",Inputs!$B$21+$A89*Inputs!$E$6/SQRT(Inputs!$E$6^2+Inputs!$E$7^2+Inputs!$E$8^2))</f>
        <v>919.87300000000005</v>
      </c>
      <c r="S89" s="3">
        <f>IF(NOT(ISNUMBER($A89)),"",Inputs!$C$21+$A89*Inputs!$E$7/SQRT(Inputs!$E$6^2+Inputs!$E$7^2+Inputs!$E$8^2))</f>
        <v>-230.45400000000001</v>
      </c>
      <c r="T89" s="3">
        <f>IF(NOT(ISNUMBER($A89)),"",Inputs!$D$21+$A89*Inputs!$E$8/SQRT(Inputs!$E$6^2+Inputs!$E$7^2+Inputs!$E$8^2))</f>
        <v>182.18899999999999</v>
      </c>
      <c r="U89" s="3">
        <f>IF(NOT(ISNUMBER($A89)),"",Inputs!$B$19+Geometry!$C$15-R89)</f>
        <v>-24.932661268328502</v>
      </c>
      <c r="V89" s="3">
        <f>IF(NOT(ISNUMBER($A89)),"",Inputs!$C$19+Geometry!$C$16-S89)</f>
        <v>-210.76798447238372</v>
      </c>
      <c r="W89" s="3">
        <f>IF(NOT(ISNUMBER($A89)),"",Inputs!$D$19+Geometry!$C$17-T89)</f>
        <v>11.015351937228701</v>
      </c>
      <c r="X89" s="3">
        <f>IF(NOT(ISNUMBER($A89)),"",2*(U89*Geometry!$C$18+V89*Geometry!$C$19+W89*Geometry!$C$20))</f>
        <v>9406.7505137368444</v>
      </c>
      <c r="Y89" s="3">
        <f>IF(NOT(ISNUMBER($A89)),"",2*(U89*Geometry!$C$21+V89*Geometry!$C$22+W89*Geometry!$C$23))</f>
        <v>-62928.912985172654</v>
      </c>
      <c r="Z89" s="3">
        <f>IF(NOT(ISNUMBER($A89)),"",Geometry!$C$24^2-(U89^2+V89^2+W89^2)-(Geometry!$C$18^2+Geometry!$C$19^2+Geometry!$C$20^2))</f>
        <v>-3326.2874862631434</v>
      </c>
      <c r="AA89" s="3">
        <f t="shared" si="25"/>
        <v>63628.099490108296</v>
      </c>
      <c r="AB89" s="3">
        <f t="shared" si="26"/>
        <v>-5.2277020890436184E-2</v>
      </c>
      <c r="AC89" s="3">
        <f t="shared" si="27"/>
        <v>-1.4224128521253039</v>
      </c>
      <c r="AD89" s="3">
        <f t="shared" si="28"/>
        <v>1.623097188213755</v>
      </c>
      <c r="AE89" s="3">
        <f>IF(AC89="","",MOD(AC89+Geometry!$C$47*AD89+PI(),2*PI())-PI())</f>
        <v>0.20068433608845115</v>
      </c>
      <c r="AF89" s="3" t="b">
        <f t="shared" si="29"/>
        <v>1</v>
      </c>
      <c r="AG89" s="3">
        <f>IF(AF89=FALSE,"",IF((Geometry!$C$28*COS(AE89)+Geometry!$C$32*SIN(AE89)+Geometry!$C$8*Geometry!$C$30*(1-COS(AE89)))&gt;=0,1,-1)*ACOS(MAX(-1,MIN(1,(Geometry!$C$27*COS(AE89)+Geometry!$C$31*SIN(AE89)+Geometry!$C$7*Geometry!$C$30*(1-COS(AE89)))/SQRT((Geometry!$C$27*COS(AE89)+Geometry!$C$31*SIN(AE89)+Geometry!$C$7*Geometry!$C$30*(1-COS(AE89)))^2+(Geometry!$C$28*COS(AE89)+Geometry!$C$32*SIN(AE89)+Geometry!$C$8*Geometry!$C$30*(1-COS(AE89)))^2))))*180/PI())</f>
        <v>11.276398043682073</v>
      </c>
    </row>
    <row r="90" spans="1:33">
      <c r="A90" s="3">
        <f>IF(Inputs!$E$9+88*Inputs!$E$11&lt;=Inputs!$E$10,Inputs!$E$9+88*Inputs!$E$11,"")</f>
        <v>28</v>
      </c>
      <c r="B90" s="3">
        <f>IF(NOT(ISNUMBER($A90)),"",Inputs!$B$17+$A90*Inputs!$E$6/SQRT(Inputs!$E$6^2+Inputs!$E$7^2+Inputs!$E$8^2))</f>
        <v>919.87300000000005</v>
      </c>
      <c r="C90" s="3">
        <f>IF(NOT(ISNUMBER($A90)),"",Inputs!$C$17+$A90*Inputs!$E$7/SQRT(Inputs!$E$6^2+Inputs!$E$7^2+Inputs!$E$8^2))</f>
        <v>285.45400000000001</v>
      </c>
      <c r="D90" s="3">
        <f>IF(NOT(ISNUMBER($A90)),"",Inputs!$D$17+$A90*Inputs!$E$8/SQRT(Inputs!$E$6^2+Inputs!$E$7^2+Inputs!$E$8^2))</f>
        <v>182.18899999999999</v>
      </c>
      <c r="E90" s="3">
        <f>IF(NOT(ISNUMBER($A90)),"",Inputs!$B$15+Geometry!$B$15-B90)</f>
        <v>-24.932661268328502</v>
      </c>
      <c r="F90" s="3">
        <f>IF(NOT(ISNUMBER($A90)),"",Inputs!$C$15+Geometry!$B$16-C90)</f>
        <v>155.76798447238372</v>
      </c>
      <c r="G90" s="3">
        <f>IF(NOT(ISNUMBER($A90)),"",Inputs!$D$15+Geometry!$B$17-D90)</f>
        <v>11.015351937228701</v>
      </c>
      <c r="H90" s="3">
        <f>IF(NOT(ISNUMBER($A90)),"",2*(E90*Geometry!$B$18+F90*Geometry!$B$19+G90*Geometry!$B$20))</f>
        <v>5168.5588056990564</v>
      </c>
      <c r="I90" s="3">
        <f>IF(NOT(ISNUMBER($A90)),"",2*(E90*Geometry!$B$21+F90*Geometry!$B$22+G90*Geometry!$B$23))</f>
        <v>47172.382935192058</v>
      </c>
      <c r="J90" s="3">
        <f>IF(NOT(ISNUMBER($A90)),"",Geometry!$B$24^2-(E90^2+F90^2+G90^2)-(Geometry!$B$18^2+Geometry!$B$19^2+Geometry!$B$20^2))</f>
        <v>16833.190805699065</v>
      </c>
      <c r="K90" s="3">
        <f t="shared" si="20"/>
        <v>47454.691147581696</v>
      </c>
      <c r="L90" s="3">
        <f t="shared" si="21"/>
        <v>0.35472132256321487</v>
      </c>
      <c r="M90" s="3">
        <f t="shared" si="22"/>
        <v>1.4616641758245137</v>
      </c>
      <c r="N90" s="3">
        <f t="shared" si="23"/>
        <v>1.2081803360189347</v>
      </c>
      <c r="O90" s="3">
        <f>IF(M90="","",MOD(M90+Geometry!$B$47*N90+PI(),2*PI())-PI())</f>
        <v>0.25348383980557898</v>
      </c>
      <c r="P90" s="3" t="b">
        <f t="shared" si="24"/>
        <v>1</v>
      </c>
      <c r="Q90" s="3">
        <f>IF(P90=FALSE,"",IF((Geometry!$B$28*COS(O90)+Geometry!$B$32*SIN(O90)+Geometry!$B$8*Geometry!$B$30*(1-COS(O90)))&gt;=0,1,-1)*ACOS(MAX(-1,MIN(1,(Geometry!$B$27*COS(O90)+Geometry!$B$31*SIN(O90)+Geometry!$B$7*Geometry!$B$30*(1-COS(O90)))/SQRT((Geometry!$B$27*COS(O90)+Geometry!$B$31*SIN(O90)+Geometry!$B$7*Geometry!$B$30*(1-COS(O90)))^2+(Geometry!$B$28*COS(O90)+Geometry!$B$32*SIN(O90)+Geometry!$B$8*Geometry!$B$30*(1-COS(O90)))^2))))*180/PI())</f>
        <v>14.286319015819165</v>
      </c>
      <c r="R90" s="3">
        <f>IF(NOT(ISNUMBER($A90)),"",Inputs!$B$21+$A90*Inputs!$E$6/SQRT(Inputs!$E$6^2+Inputs!$E$7^2+Inputs!$E$8^2))</f>
        <v>919.87300000000005</v>
      </c>
      <c r="S90" s="3">
        <f>IF(NOT(ISNUMBER($A90)),"",Inputs!$C$21+$A90*Inputs!$E$7/SQRT(Inputs!$E$6^2+Inputs!$E$7^2+Inputs!$E$8^2))</f>
        <v>-229.45400000000001</v>
      </c>
      <c r="T90" s="3">
        <f>IF(NOT(ISNUMBER($A90)),"",Inputs!$D$21+$A90*Inputs!$E$8/SQRT(Inputs!$E$6^2+Inputs!$E$7^2+Inputs!$E$8^2))</f>
        <v>182.18899999999999</v>
      </c>
      <c r="U90" s="3">
        <f>IF(NOT(ISNUMBER($A90)),"",Inputs!$B$19+Geometry!$C$15-R90)</f>
        <v>-24.932661268328502</v>
      </c>
      <c r="V90" s="3">
        <f>IF(NOT(ISNUMBER($A90)),"",Inputs!$C$19+Geometry!$C$16-S90)</f>
        <v>-211.76798447238372</v>
      </c>
      <c r="W90" s="3">
        <f>IF(NOT(ISNUMBER($A90)),"",Inputs!$D$19+Geometry!$C$17-T90)</f>
        <v>11.015351937228701</v>
      </c>
      <c r="X90" s="3">
        <f>IF(NOT(ISNUMBER($A90)),"",2*(U90*Geometry!$C$18+V90*Geometry!$C$19+W90*Geometry!$C$20))</f>
        <v>9483.8085447920766</v>
      </c>
      <c r="Y90" s="3">
        <f>IF(NOT(ISNUMBER($A90)),"",2*(U90*Geometry!$C$21+V90*Geometry!$C$22+W90*Geometry!$C$23))</f>
        <v>-63215.395349717757</v>
      </c>
      <c r="Z90" s="3">
        <f>IF(NOT(ISNUMBER($A90)),"",Geometry!$C$24^2-(U90^2+V90^2+W90^2)-(Geometry!$C$18^2+Geometry!$C$19^2+Geometry!$C$20^2))</f>
        <v>-3748.8234552079084</v>
      </c>
      <c r="AA90" s="3">
        <f t="shared" si="25"/>
        <v>63922.834994510282</v>
      </c>
      <c r="AB90" s="3">
        <f t="shared" si="26"/>
        <v>-5.864607625005773E-2</v>
      </c>
      <c r="AC90" s="3">
        <f t="shared" si="27"/>
        <v>-1.421883184731547</v>
      </c>
      <c r="AD90" s="3">
        <f t="shared" si="28"/>
        <v>1.6294760726988784</v>
      </c>
      <c r="AE90" s="3">
        <f>IF(AC90="","",MOD(AC90+Geometry!$C$47*AD90+PI(),2*PI())-PI())</f>
        <v>0.20759288796733166</v>
      </c>
      <c r="AF90" s="3" t="b">
        <f t="shared" si="29"/>
        <v>1</v>
      </c>
      <c r="AG90" s="3">
        <f>IF(AF90=FALSE,"",IF((Geometry!$C$28*COS(AE90)+Geometry!$C$32*SIN(AE90)+Geometry!$C$8*Geometry!$C$30*(1-COS(AE90)))&gt;=0,1,-1)*ACOS(MAX(-1,MIN(1,(Geometry!$C$27*COS(AE90)+Geometry!$C$31*SIN(AE90)+Geometry!$C$7*Geometry!$C$30*(1-COS(AE90)))/SQRT((Geometry!$C$27*COS(AE90)+Geometry!$C$31*SIN(AE90)+Geometry!$C$7*Geometry!$C$30*(1-COS(AE90)))^2+(Geometry!$C$28*COS(AE90)+Geometry!$C$32*SIN(AE90)+Geometry!$C$8*Geometry!$C$30*(1-COS(AE90)))^2))))*180/PI())</f>
        <v>11.66442756443622</v>
      </c>
    </row>
    <row r="91" spans="1:33">
      <c r="A91" s="3">
        <f>IF(Inputs!$E$9+89*Inputs!$E$11&lt;=Inputs!$E$10,Inputs!$E$9+89*Inputs!$E$11,"")</f>
        <v>29</v>
      </c>
      <c r="B91" s="3">
        <f>IF(NOT(ISNUMBER($A91)),"",Inputs!$B$17+$A91*Inputs!$E$6/SQRT(Inputs!$E$6^2+Inputs!$E$7^2+Inputs!$E$8^2))</f>
        <v>919.87300000000005</v>
      </c>
      <c r="C91" s="3">
        <f>IF(NOT(ISNUMBER($A91)),"",Inputs!$C$17+$A91*Inputs!$E$7/SQRT(Inputs!$E$6^2+Inputs!$E$7^2+Inputs!$E$8^2))</f>
        <v>286.45400000000001</v>
      </c>
      <c r="D91" s="3">
        <f>IF(NOT(ISNUMBER($A91)),"",Inputs!$D$17+$A91*Inputs!$E$8/SQRT(Inputs!$E$6^2+Inputs!$E$7^2+Inputs!$E$8^2))</f>
        <v>182.18899999999999</v>
      </c>
      <c r="E91" s="3">
        <f>IF(NOT(ISNUMBER($A91)),"",Inputs!$B$15+Geometry!$B$15-B91)</f>
        <v>-24.932661268328502</v>
      </c>
      <c r="F91" s="3">
        <f>IF(NOT(ISNUMBER($A91)),"",Inputs!$C$15+Geometry!$B$16-C91)</f>
        <v>154.76798447238372</v>
      </c>
      <c r="G91" s="3">
        <f>IF(NOT(ISNUMBER($A91)),"",Inputs!$D$15+Geometry!$B$17-D91)</f>
        <v>11.015351937228701</v>
      </c>
      <c r="H91" s="3">
        <f>IF(NOT(ISNUMBER($A91)),"",2*(E91*Geometry!$B$18+F91*Geometry!$B$19+G91*Geometry!$B$20))</f>
        <v>5091.5007746438241</v>
      </c>
      <c r="I91" s="3">
        <f>IF(NOT(ISNUMBER($A91)),"",2*(E91*Geometry!$B$21+F91*Geometry!$B$22+G91*Geometry!$B$23))</f>
        <v>46885.900570646954</v>
      </c>
      <c r="J91" s="3">
        <f>IF(NOT(ISNUMBER($A91)),"",Geometry!$B$24^2-(E91^2+F91^2+G91^2)-(Geometry!$B$18^2+Geometry!$B$19^2+Geometry!$B$20^2))</f>
        <v>17143.72677464383</v>
      </c>
      <c r="K91" s="3">
        <f t="shared" si="20"/>
        <v>47161.542091610951</v>
      </c>
      <c r="L91" s="3">
        <f t="shared" si="21"/>
        <v>0.36351073383780086</v>
      </c>
      <c r="M91" s="3">
        <f t="shared" si="22"/>
        <v>1.4626267653161031</v>
      </c>
      <c r="N91" s="3">
        <f t="shared" si="23"/>
        <v>1.1987626516278014</v>
      </c>
      <c r="O91" s="3">
        <f>IF(M91="","",MOD(M91+Geometry!$B$47*N91+PI(),2*PI())-PI())</f>
        <v>0.26386411368830176</v>
      </c>
      <c r="P91" s="3" t="b">
        <f t="shared" si="24"/>
        <v>1</v>
      </c>
      <c r="Q91" s="3">
        <f>IF(P91=FALSE,"",IF((Geometry!$B$28*COS(O91)+Geometry!$B$32*SIN(O91)+Geometry!$B$8*Geometry!$B$30*(1-COS(O91)))&gt;=0,1,-1)*ACOS(MAX(-1,MIN(1,(Geometry!$B$27*COS(O91)+Geometry!$B$31*SIN(O91)+Geometry!$B$7*Geometry!$B$30*(1-COS(O91)))/SQRT((Geometry!$B$27*COS(O91)+Geometry!$B$31*SIN(O91)+Geometry!$B$7*Geometry!$B$30*(1-COS(O91)))^2+(Geometry!$B$28*COS(O91)+Geometry!$B$32*SIN(O91)+Geometry!$B$8*Geometry!$B$30*(1-COS(O91)))^2))))*180/PI())</f>
        <v>14.872979785961997</v>
      </c>
      <c r="R91" s="3">
        <f>IF(NOT(ISNUMBER($A91)),"",Inputs!$B$21+$A91*Inputs!$E$6/SQRT(Inputs!$E$6^2+Inputs!$E$7^2+Inputs!$E$8^2))</f>
        <v>919.87300000000005</v>
      </c>
      <c r="S91" s="3">
        <f>IF(NOT(ISNUMBER($A91)),"",Inputs!$C$21+$A91*Inputs!$E$7/SQRT(Inputs!$E$6^2+Inputs!$E$7^2+Inputs!$E$8^2))</f>
        <v>-228.45400000000001</v>
      </c>
      <c r="T91" s="3">
        <f>IF(NOT(ISNUMBER($A91)),"",Inputs!$D$21+$A91*Inputs!$E$8/SQRT(Inputs!$E$6^2+Inputs!$E$7^2+Inputs!$E$8^2))</f>
        <v>182.18899999999999</v>
      </c>
      <c r="U91" s="3">
        <f>IF(NOT(ISNUMBER($A91)),"",Inputs!$B$19+Geometry!$C$15-R91)</f>
        <v>-24.932661268328502</v>
      </c>
      <c r="V91" s="3">
        <f>IF(NOT(ISNUMBER($A91)),"",Inputs!$C$19+Geometry!$C$16-S91)</f>
        <v>-212.76798447238372</v>
      </c>
      <c r="W91" s="3">
        <f>IF(NOT(ISNUMBER($A91)),"",Inputs!$D$19+Geometry!$C$17-T91)</f>
        <v>11.015351937228701</v>
      </c>
      <c r="X91" s="3">
        <f>IF(NOT(ISNUMBER($A91)),"",2*(U91*Geometry!$C$18+V91*Geometry!$C$19+W91*Geometry!$C$20))</f>
        <v>9560.8665758473071</v>
      </c>
      <c r="Y91" s="3">
        <f>IF(NOT(ISNUMBER($A91)),"",2*(U91*Geometry!$C$21+V91*Geometry!$C$22+W91*Geometry!$C$23))</f>
        <v>-63501.877714262861</v>
      </c>
      <c r="Z91" s="3">
        <f>IF(NOT(ISNUMBER($A91)),"",Geometry!$C$24^2-(U91^2+V91^2+W91^2)-(Geometry!$C$18^2+Geometry!$C$19^2+Geometry!$C$20^2))</f>
        <v>-4173.3594241526807</v>
      </c>
      <c r="AA91" s="3">
        <f t="shared" si="25"/>
        <v>64217.588267688378</v>
      </c>
      <c r="AB91" s="3">
        <f t="shared" si="26"/>
        <v>-6.4987794414766931E-2</v>
      </c>
      <c r="AC91" s="3">
        <f t="shared" si="27"/>
        <v>-1.4213583794483378</v>
      </c>
      <c r="AD91" s="3">
        <f t="shared" si="28"/>
        <v>1.6358299534228551</v>
      </c>
      <c r="AE91" s="3">
        <f>IF(AC91="","",MOD(AC91+Geometry!$C$47*AD91+PI(),2*PI())-PI())</f>
        <v>0.21447157397451733</v>
      </c>
      <c r="AF91" s="3" t="b">
        <f t="shared" si="29"/>
        <v>1</v>
      </c>
      <c r="AG91" s="3">
        <f>IF(AF91=FALSE,"",IF((Geometry!$C$28*COS(AE91)+Geometry!$C$32*SIN(AE91)+Geometry!$C$8*Geometry!$C$30*(1-COS(AE91)))&gt;=0,1,-1)*ACOS(MAX(-1,MIN(1,(Geometry!$C$27*COS(AE91)+Geometry!$C$31*SIN(AE91)+Geometry!$C$7*Geometry!$C$30*(1-COS(AE91)))/SQRT((Geometry!$C$27*COS(AE91)+Geometry!$C$31*SIN(AE91)+Geometry!$C$7*Geometry!$C$30*(1-COS(AE91)))^2+(Geometry!$C$28*COS(AE91)+Geometry!$C$32*SIN(AE91)+Geometry!$C$8*Geometry!$C$30*(1-COS(AE91)))^2))))*180/PI())</f>
        <v>12.050782137632183</v>
      </c>
    </row>
    <row r="92" spans="1:33">
      <c r="A92" s="3">
        <f>IF(Inputs!$E$9+90*Inputs!$E$11&lt;=Inputs!$E$10,Inputs!$E$9+90*Inputs!$E$11,"")</f>
        <v>30</v>
      </c>
      <c r="B92" s="3">
        <f>IF(NOT(ISNUMBER($A92)),"",Inputs!$B$17+$A92*Inputs!$E$6/SQRT(Inputs!$E$6^2+Inputs!$E$7^2+Inputs!$E$8^2))</f>
        <v>919.87300000000005</v>
      </c>
      <c r="C92" s="3">
        <f>IF(NOT(ISNUMBER($A92)),"",Inputs!$C$17+$A92*Inputs!$E$7/SQRT(Inputs!$E$6^2+Inputs!$E$7^2+Inputs!$E$8^2))</f>
        <v>287.45400000000001</v>
      </c>
      <c r="D92" s="3">
        <f>IF(NOT(ISNUMBER($A92)),"",Inputs!$D$17+$A92*Inputs!$E$8/SQRT(Inputs!$E$6^2+Inputs!$E$7^2+Inputs!$E$8^2))</f>
        <v>182.18899999999999</v>
      </c>
      <c r="E92" s="3">
        <f>IF(NOT(ISNUMBER($A92)),"",Inputs!$B$15+Geometry!$B$15-B92)</f>
        <v>-24.932661268328502</v>
      </c>
      <c r="F92" s="3">
        <f>IF(NOT(ISNUMBER($A92)),"",Inputs!$C$15+Geometry!$B$16-C92)</f>
        <v>153.76798447238372</v>
      </c>
      <c r="G92" s="3">
        <f>IF(NOT(ISNUMBER($A92)),"",Inputs!$D$15+Geometry!$B$17-D92)</f>
        <v>11.015351937228701</v>
      </c>
      <c r="H92" s="3">
        <f>IF(NOT(ISNUMBER($A92)),"",2*(E92*Geometry!$B$18+F92*Geometry!$B$19+G92*Geometry!$B$20))</f>
        <v>5014.4427435885918</v>
      </c>
      <c r="I92" s="3">
        <f>IF(NOT(ISNUMBER($A92)),"",2*(E92*Geometry!$B$21+F92*Geometry!$B$22+G92*Geometry!$B$23))</f>
        <v>46599.418206101858</v>
      </c>
      <c r="J92" s="3">
        <f>IF(NOT(ISNUMBER($A92)),"",Geometry!$B$24^2-(E92^2+F92^2+G92^2)-(Geometry!$B$18^2+Geometry!$B$19^2+Geometry!$B$20^2))</f>
        <v>17452.262743588595</v>
      </c>
      <c r="K92" s="3">
        <f t="shared" si="20"/>
        <v>46868.437281137354</v>
      </c>
      <c r="L92" s="3">
        <f t="shared" si="21"/>
        <v>0.37236707165853006</v>
      </c>
      <c r="M92" s="3">
        <f t="shared" si="22"/>
        <v>1.4636013953625213</v>
      </c>
      <c r="N92" s="3">
        <f t="shared" si="23"/>
        <v>1.1892381182924989</v>
      </c>
      <c r="O92" s="3">
        <f>IF(M92="","",MOD(M92+Geometry!$B$47*N92+PI(),2*PI())-PI())</f>
        <v>0.27436327707002217</v>
      </c>
      <c r="P92" s="3" t="b">
        <f t="shared" si="24"/>
        <v>1</v>
      </c>
      <c r="Q92" s="3">
        <f>IF(P92=FALSE,"",IF((Geometry!$B$28*COS(O92)+Geometry!$B$32*SIN(O92)+Geometry!$B$8*Geometry!$B$30*(1-COS(O92)))&gt;=0,1,-1)*ACOS(MAX(-1,MIN(1,(Geometry!$B$27*COS(O92)+Geometry!$B$31*SIN(O92)+Geometry!$B$7*Geometry!$B$30*(1-COS(O92)))/SQRT((Geometry!$B$27*COS(O92)+Geometry!$B$31*SIN(O92)+Geometry!$B$7*Geometry!$B$30*(1-COS(O92)))^2+(Geometry!$B$28*COS(O92)+Geometry!$B$32*SIN(O92)+Geometry!$B$8*Geometry!$B$30*(1-COS(O92)))^2))))*180/PI())</f>
        <v>15.466511804006489</v>
      </c>
      <c r="R92" s="3">
        <f>IF(NOT(ISNUMBER($A92)),"",Inputs!$B$21+$A92*Inputs!$E$6/SQRT(Inputs!$E$6^2+Inputs!$E$7^2+Inputs!$E$8^2))</f>
        <v>919.87300000000005</v>
      </c>
      <c r="S92" s="3">
        <f>IF(NOT(ISNUMBER($A92)),"",Inputs!$C$21+$A92*Inputs!$E$7/SQRT(Inputs!$E$6^2+Inputs!$E$7^2+Inputs!$E$8^2))</f>
        <v>-227.45400000000001</v>
      </c>
      <c r="T92" s="3">
        <f>IF(NOT(ISNUMBER($A92)),"",Inputs!$D$21+$A92*Inputs!$E$8/SQRT(Inputs!$E$6^2+Inputs!$E$7^2+Inputs!$E$8^2))</f>
        <v>182.18899999999999</v>
      </c>
      <c r="U92" s="3">
        <f>IF(NOT(ISNUMBER($A92)),"",Inputs!$B$19+Geometry!$C$15-R92)</f>
        <v>-24.932661268328502</v>
      </c>
      <c r="V92" s="3">
        <f>IF(NOT(ISNUMBER($A92)),"",Inputs!$C$19+Geometry!$C$16-S92)</f>
        <v>-213.76798447238372</v>
      </c>
      <c r="W92" s="3">
        <f>IF(NOT(ISNUMBER($A92)),"",Inputs!$D$19+Geometry!$C$17-T92)</f>
        <v>11.015351937228701</v>
      </c>
      <c r="X92" s="3">
        <f>IF(NOT(ISNUMBER($A92)),"",2*(U92*Geometry!$C$18+V92*Geometry!$C$19+W92*Geometry!$C$20))</f>
        <v>9637.924606902543</v>
      </c>
      <c r="Y92" s="3">
        <f>IF(NOT(ISNUMBER($A92)),"",2*(U92*Geometry!$C$21+V92*Geometry!$C$22+W92*Geometry!$C$23))</f>
        <v>-63788.360078807957</v>
      </c>
      <c r="Z92" s="3">
        <f>IF(NOT(ISNUMBER($A92)),"",Geometry!$C$24^2-(U92^2+V92^2+W92^2)-(Geometry!$C$18^2+Geometry!$C$19^2+Geometry!$C$20^2))</f>
        <v>-4599.8953930974458</v>
      </c>
      <c r="AA92" s="3">
        <f t="shared" si="25"/>
        <v>64512.359066089019</v>
      </c>
      <c r="AB92" s="3">
        <f t="shared" si="26"/>
        <v>-7.1302545119844879E-2</v>
      </c>
      <c r="AC92" s="3">
        <f t="shared" si="27"/>
        <v>-1.4208383699186837</v>
      </c>
      <c r="AD92" s="3">
        <f t="shared" si="28"/>
        <v>1.6421594282118024</v>
      </c>
      <c r="AE92" s="3">
        <f>IF(AC92="","",MOD(AC92+Geometry!$C$47*AD92+PI(),2*PI())-PI())</f>
        <v>0.22132105829311843</v>
      </c>
      <c r="AF92" s="3" t="b">
        <f t="shared" si="29"/>
        <v>1</v>
      </c>
      <c r="AG92" s="3">
        <f>IF(AF92=FALSE,"",IF((Geometry!$C$28*COS(AE92)+Geometry!$C$32*SIN(AE92)+Geometry!$C$8*Geometry!$C$30*(1-COS(AE92)))&gt;=0,1,-1)*ACOS(MAX(-1,MIN(1,(Geometry!$C$27*COS(AE92)+Geometry!$C$31*SIN(AE92)+Geometry!$C$7*Geometry!$C$30*(1-COS(AE92)))/SQRT((Geometry!$C$27*COS(AE92)+Geometry!$C$31*SIN(AE92)+Geometry!$C$7*Geometry!$C$30*(1-COS(AE92)))^2+(Geometry!$C$28*COS(AE92)+Geometry!$C$32*SIN(AE92)+Geometry!$C$8*Geometry!$C$30*(1-COS(AE92)))^2))))*180/PI())</f>
        <v>12.435500332547011</v>
      </c>
    </row>
    <row r="93" spans="1:33">
      <c r="A93" s="3">
        <f>IF(Inputs!$E$9+91*Inputs!$E$11&lt;=Inputs!$E$10,Inputs!$E$9+91*Inputs!$E$11,"")</f>
        <v>31</v>
      </c>
      <c r="B93" s="3">
        <f>IF(NOT(ISNUMBER($A93)),"",Inputs!$B$17+$A93*Inputs!$E$6/SQRT(Inputs!$E$6^2+Inputs!$E$7^2+Inputs!$E$8^2))</f>
        <v>919.87300000000005</v>
      </c>
      <c r="C93" s="3">
        <f>IF(NOT(ISNUMBER($A93)),"",Inputs!$C$17+$A93*Inputs!$E$7/SQRT(Inputs!$E$6^2+Inputs!$E$7^2+Inputs!$E$8^2))</f>
        <v>288.45400000000001</v>
      </c>
      <c r="D93" s="3">
        <f>IF(NOT(ISNUMBER($A93)),"",Inputs!$D$17+$A93*Inputs!$E$8/SQRT(Inputs!$E$6^2+Inputs!$E$7^2+Inputs!$E$8^2))</f>
        <v>182.18899999999999</v>
      </c>
      <c r="E93" s="3">
        <f>IF(NOT(ISNUMBER($A93)),"",Inputs!$B$15+Geometry!$B$15-B93)</f>
        <v>-24.932661268328502</v>
      </c>
      <c r="F93" s="3">
        <f>IF(NOT(ISNUMBER($A93)),"",Inputs!$C$15+Geometry!$B$16-C93)</f>
        <v>152.76798447238372</v>
      </c>
      <c r="G93" s="3">
        <f>IF(NOT(ISNUMBER($A93)),"",Inputs!$D$15+Geometry!$B$17-D93)</f>
        <v>11.015351937228701</v>
      </c>
      <c r="H93" s="3">
        <f>IF(NOT(ISNUMBER($A93)),"",2*(E93*Geometry!$B$18+F93*Geometry!$B$19+G93*Geometry!$B$20))</f>
        <v>4937.3847125333577</v>
      </c>
      <c r="I93" s="3">
        <f>IF(NOT(ISNUMBER($A93)),"",2*(E93*Geometry!$B$21+F93*Geometry!$B$22+G93*Geometry!$B$23))</f>
        <v>46312.935841556755</v>
      </c>
      <c r="J93" s="3">
        <f>IF(NOT(ISNUMBER($A93)),"",Geometry!$B$24^2-(E93^2+F93^2+G93^2)-(Geometry!$B$18^2+Geometry!$B$19^2+Geometry!$B$20^2))</f>
        <v>17758.798712533368</v>
      </c>
      <c r="K93" s="3">
        <f t="shared" si="20"/>
        <v>46575.377551488622</v>
      </c>
      <c r="L93" s="3">
        <f t="shared" si="21"/>
        <v>0.38129156747900089</v>
      </c>
      <c r="M93" s="3">
        <f t="shared" si="22"/>
        <v>1.4645882914127231</v>
      </c>
      <c r="N93" s="3">
        <f t="shared" si="23"/>
        <v>1.1796033195900797</v>
      </c>
      <c r="O93" s="3">
        <f>IF(M93="","",MOD(M93+Geometry!$B$47*N93+PI(),2*PI())-PI())</f>
        <v>0.28498497182264337</v>
      </c>
      <c r="P93" s="3" t="b">
        <f t="shared" si="24"/>
        <v>1</v>
      </c>
      <c r="Q93" s="3">
        <f>IF(P93=FALSE,"",IF((Geometry!$B$28*COS(O93)+Geometry!$B$32*SIN(O93)+Geometry!$B$8*Geometry!$B$30*(1-COS(O93)))&gt;=0,1,-1)*ACOS(MAX(-1,MIN(1,(Geometry!$B$27*COS(O93)+Geometry!$B$31*SIN(O93)+Geometry!$B$7*Geometry!$B$30*(1-COS(O93)))/SQRT((Geometry!$B$27*COS(O93)+Geometry!$B$31*SIN(O93)+Geometry!$B$7*Geometry!$B$30*(1-COS(O93)))^2+(Geometry!$B$28*COS(O93)+Geometry!$B$32*SIN(O93)+Geometry!$B$8*Geometry!$B$30*(1-COS(O93)))^2))))*180/PI())</f>
        <v>16.067128190598286</v>
      </c>
      <c r="R93" s="3">
        <f>IF(NOT(ISNUMBER($A93)),"",Inputs!$B$21+$A93*Inputs!$E$6/SQRT(Inputs!$E$6^2+Inputs!$E$7^2+Inputs!$E$8^2))</f>
        <v>919.87300000000005</v>
      </c>
      <c r="S93" s="3">
        <f>IF(NOT(ISNUMBER($A93)),"",Inputs!$C$21+$A93*Inputs!$E$7/SQRT(Inputs!$E$6^2+Inputs!$E$7^2+Inputs!$E$8^2))</f>
        <v>-226.45400000000001</v>
      </c>
      <c r="T93" s="3">
        <f>IF(NOT(ISNUMBER($A93)),"",Inputs!$D$21+$A93*Inputs!$E$8/SQRT(Inputs!$E$6^2+Inputs!$E$7^2+Inputs!$E$8^2))</f>
        <v>182.18899999999999</v>
      </c>
      <c r="U93" s="3">
        <f>IF(NOT(ISNUMBER($A93)),"",Inputs!$B$19+Geometry!$C$15-R93)</f>
        <v>-24.932661268328502</v>
      </c>
      <c r="V93" s="3">
        <f>IF(NOT(ISNUMBER($A93)),"",Inputs!$C$19+Geometry!$C$16-S93)</f>
        <v>-214.76798447238372</v>
      </c>
      <c r="W93" s="3">
        <f>IF(NOT(ISNUMBER($A93)),"",Inputs!$D$19+Geometry!$C$17-T93)</f>
        <v>11.015351937228701</v>
      </c>
      <c r="X93" s="3">
        <f>IF(NOT(ISNUMBER($A93)),"",2*(U93*Geometry!$C$18+V93*Geometry!$C$19+W93*Geometry!$C$20))</f>
        <v>9714.9826379577753</v>
      </c>
      <c r="Y93" s="3">
        <f>IF(NOT(ISNUMBER($A93)),"",2*(U93*Geometry!$C$21+V93*Geometry!$C$22+W93*Geometry!$C$23))</f>
        <v>-64074.84244335306</v>
      </c>
      <c r="Z93" s="3">
        <f>IF(NOT(ISNUMBER($A93)),"",Geometry!$C$24^2-(U93^2+V93^2+W93^2)-(Geometry!$C$18^2+Geometry!$C$19^2+Geometry!$C$20^2))</f>
        <v>-5028.4313620422108</v>
      </c>
      <c r="AA93" s="3">
        <f t="shared" si="25"/>
        <v>64807.147150575445</v>
      </c>
      <c r="AB93" s="3">
        <f t="shared" si="26"/>
        <v>-7.7590691507511633E-2</v>
      </c>
      <c r="AC93" s="3">
        <f t="shared" si="27"/>
        <v>-1.4203230909824618</v>
      </c>
      <c r="AD93" s="3">
        <f t="shared" si="28"/>
        <v>1.6484650833832084</v>
      </c>
      <c r="AE93" s="3">
        <f>IF(AC93="","",MOD(AC93+Geometry!$C$47*AD93+PI(),2*PI())-PI())</f>
        <v>0.2281419924007464</v>
      </c>
      <c r="AF93" s="3" t="b">
        <f t="shared" si="29"/>
        <v>1</v>
      </c>
      <c r="AG93" s="3">
        <f>IF(AF93=FALSE,"",IF((Geometry!$C$28*COS(AE93)+Geometry!$C$32*SIN(AE93)+Geometry!$C$8*Geometry!$C$30*(1-COS(AE93)))&gt;=0,1,-1)*ACOS(MAX(-1,MIN(1,(Geometry!$C$27*COS(AE93)+Geometry!$C$31*SIN(AE93)+Geometry!$C$7*Geometry!$C$30*(1-COS(AE93)))/SQRT((Geometry!$C$27*COS(AE93)+Geometry!$C$31*SIN(AE93)+Geometry!$C$7*Geometry!$C$30*(1-COS(AE93)))^2+(Geometry!$C$28*COS(AE93)+Geometry!$C$32*SIN(AE93)+Geometry!$C$8*Geometry!$C$30*(1-COS(AE93)))^2))))*180/PI())</f>
        <v>12.818619977713336</v>
      </c>
    </row>
    <row r="94" spans="1:33">
      <c r="A94" s="3">
        <f>IF(Inputs!$E$9+92*Inputs!$E$11&lt;=Inputs!$E$10,Inputs!$E$9+92*Inputs!$E$11,"")</f>
        <v>32</v>
      </c>
      <c r="B94" s="3">
        <f>IF(NOT(ISNUMBER($A94)),"",Inputs!$B$17+$A94*Inputs!$E$6/SQRT(Inputs!$E$6^2+Inputs!$E$7^2+Inputs!$E$8^2))</f>
        <v>919.87300000000005</v>
      </c>
      <c r="C94" s="3">
        <f>IF(NOT(ISNUMBER($A94)),"",Inputs!$C$17+$A94*Inputs!$E$7/SQRT(Inputs!$E$6^2+Inputs!$E$7^2+Inputs!$E$8^2))</f>
        <v>289.45400000000001</v>
      </c>
      <c r="D94" s="3">
        <f>IF(NOT(ISNUMBER($A94)),"",Inputs!$D$17+$A94*Inputs!$E$8/SQRT(Inputs!$E$6^2+Inputs!$E$7^2+Inputs!$E$8^2))</f>
        <v>182.18899999999999</v>
      </c>
      <c r="E94" s="3">
        <f>IF(NOT(ISNUMBER($A94)),"",Inputs!$B$15+Geometry!$B$15-B94)</f>
        <v>-24.932661268328502</v>
      </c>
      <c r="F94" s="3">
        <f>IF(NOT(ISNUMBER($A94)),"",Inputs!$C$15+Geometry!$B$16-C94)</f>
        <v>151.76798447238372</v>
      </c>
      <c r="G94" s="3">
        <f>IF(NOT(ISNUMBER($A94)),"",Inputs!$D$15+Geometry!$B$17-D94)</f>
        <v>11.015351937228701</v>
      </c>
      <c r="H94" s="3">
        <f>IF(NOT(ISNUMBER($A94)),"",2*(E94*Geometry!$B$18+F94*Geometry!$B$19+G94*Geometry!$B$20))</f>
        <v>4860.3266814781255</v>
      </c>
      <c r="I94" s="3">
        <f>IF(NOT(ISNUMBER($A94)),"",2*(E94*Geometry!$B$21+F94*Geometry!$B$22+G94*Geometry!$B$23))</f>
        <v>46026.453477011652</v>
      </c>
      <c r="J94" s="3">
        <f>IF(NOT(ISNUMBER($A94)),"",Geometry!$B$24^2-(E94^2+F94^2+G94^2)-(Geometry!$B$18^2+Geometry!$B$19^2+Geometry!$B$20^2))</f>
        <v>18063.334681478133</v>
      </c>
      <c r="K94" s="3">
        <f t="shared" si="20"/>
        <v>46282.36375901955</v>
      </c>
      <c r="L94" s="3">
        <f t="shared" si="21"/>
        <v>0.39028548272791996</v>
      </c>
      <c r="M94" s="3">
        <f t="shared" si="22"/>
        <v>1.4655876845306735</v>
      </c>
      <c r="N94" s="3">
        <f t="shared" si="23"/>
        <v>1.1698546810178299</v>
      </c>
      <c r="O94" s="3">
        <f>IF(M94="","",MOD(M94+Geometry!$B$47*N94+PI(),2*PI())-PI())</f>
        <v>0.2957330035128436</v>
      </c>
      <c r="P94" s="3" t="b">
        <f t="shared" si="24"/>
        <v>1</v>
      </c>
      <c r="Q94" s="3">
        <f>IF(P94=FALSE,"",IF((Geometry!$B$28*COS(O94)+Geometry!$B$32*SIN(O94)+Geometry!$B$8*Geometry!$B$30*(1-COS(O94)))&gt;=0,1,-1)*ACOS(MAX(-1,MIN(1,(Geometry!$B$27*COS(O94)+Geometry!$B$31*SIN(O94)+Geometry!$B$7*Geometry!$B$30*(1-COS(O94)))/SQRT((Geometry!$B$27*COS(O94)+Geometry!$B$31*SIN(O94)+Geometry!$B$7*Geometry!$B$30*(1-COS(O94)))^2+(Geometry!$B$28*COS(O94)+Geometry!$B$32*SIN(O94)+Geometry!$B$8*Geometry!$B$30*(1-COS(O94)))^2))))*180/PI())</f>
        <v>16.675051651039816</v>
      </c>
      <c r="R94" s="3">
        <f>IF(NOT(ISNUMBER($A94)),"",Inputs!$B$21+$A94*Inputs!$E$6/SQRT(Inputs!$E$6^2+Inputs!$E$7^2+Inputs!$E$8^2))</f>
        <v>919.87300000000005</v>
      </c>
      <c r="S94" s="3">
        <f>IF(NOT(ISNUMBER($A94)),"",Inputs!$C$21+$A94*Inputs!$E$7/SQRT(Inputs!$E$6^2+Inputs!$E$7^2+Inputs!$E$8^2))</f>
        <v>-225.45400000000001</v>
      </c>
      <c r="T94" s="3">
        <f>IF(NOT(ISNUMBER($A94)),"",Inputs!$D$21+$A94*Inputs!$E$8/SQRT(Inputs!$E$6^2+Inputs!$E$7^2+Inputs!$E$8^2))</f>
        <v>182.18899999999999</v>
      </c>
      <c r="U94" s="3">
        <f>IF(NOT(ISNUMBER($A94)),"",Inputs!$B$19+Geometry!$C$15-R94)</f>
        <v>-24.932661268328502</v>
      </c>
      <c r="V94" s="3">
        <f>IF(NOT(ISNUMBER($A94)),"",Inputs!$C$19+Geometry!$C$16-S94)</f>
        <v>-215.76798447238372</v>
      </c>
      <c r="W94" s="3">
        <f>IF(NOT(ISNUMBER($A94)),"",Inputs!$D$19+Geometry!$C$17-T94)</f>
        <v>11.015351937228701</v>
      </c>
      <c r="X94" s="3">
        <f>IF(NOT(ISNUMBER($A94)),"",2*(U94*Geometry!$C$18+V94*Geometry!$C$19+W94*Geometry!$C$20))</f>
        <v>9792.0406690130076</v>
      </c>
      <c r="Y94" s="3">
        <f>IF(NOT(ISNUMBER($A94)),"",2*(U94*Geometry!$C$21+V94*Geometry!$C$22+W94*Geometry!$C$23))</f>
        <v>-64361.324807898163</v>
      </c>
      <c r="Z94" s="3">
        <f>IF(NOT(ISNUMBER($A94)),"",Geometry!$C$24^2-(U94^2+V94^2+W94^2)-(Geometry!$C$18^2+Geometry!$C$19^2+Geometry!$C$20^2))</f>
        <v>-5458.9673309869831</v>
      </c>
      <c r="AA94" s="3">
        <f t="shared" si="25"/>
        <v>65101.952286328349</v>
      </c>
      <c r="AB94" s="3">
        <f t="shared" si="26"/>
        <v>-8.38525902722181E-2</v>
      </c>
      <c r="AC94" s="3">
        <f t="shared" si="27"/>
        <v>-1.41981247864967</v>
      </c>
      <c r="AD94" s="3">
        <f t="shared" si="28"/>
        <v>1.6547474941416682</v>
      </c>
      <c r="AE94" s="3">
        <f>IF(AC94="","",MOD(AC94+Geometry!$C$47*AD94+PI(),2*PI())-PI())</f>
        <v>0.23493501549199802</v>
      </c>
      <c r="AF94" s="3" t="b">
        <f t="shared" si="29"/>
        <v>1</v>
      </c>
      <c r="AG94" s="3">
        <f>IF(AF94=FALSE,"",IF((Geometry!$C$28*COS(AE94)+Geometry!$C$32*SIN(AE94)+Geometry!$C$8*Geometry!$C$30*(1-COS(AE94)))&gt;=0,1,-1)*ACOS(MAX(-1,MIN(1,(Geometry!$C$27*COS(AE94)+Geometry!$C$31*SIN(AE94)+Geometry!$C$7*Geometry!$C$30*(1-COS(AE94)))/SQRT((Geometry!$C$27*COS(AE94)+Geometry!$C$31*SIN(AE94)+Geometry!$C$7*Geometry!$C$30*(1-COS(AE94)))^2+(Geometry!$C$28*COS(AE94)+Geometry!$C$32*SIN(AE94)+Geometry!$C$8*Geometry!$C$30*(1-COS(AE94)))^2))))*180/PI())</f>
        <v>13.200178185777748</v>
      </c>
    </row>
    <row r="95" spans="1:33">
      <c r="A95" s="3">
        <f>IF(Inputs!$E$9+93*Inputs!$E$11&lt;=Inputs!$E$10,Inputs!$E$9+93*Inputs!$E$11,"")</f>
        <v>33</v>
      </c>
      <c r="B95" s="3">
        <f>IF(NOT(ISNUMBER($A95)),"",Inputs!$B$17+$A95*Inputs!$E$6/SQRT(Inputs!$E$6^2+Inputs!$E$7^2+Inputs!$E$8^2))</f>
        <v>919.87300000000005</v>
      </c>
      <c r="C95" s="3">
        <f>IF(NOT(ISNUMBER($A95)),"",Inputs!$C$17+$A95*Inputs!$E$7/SQRT(Inputs!$E$6^2+Inputs!$E$7^2+Inputs!$E$8^2))</f>
        <v>290.45400000000001</v>
      </c>
      <c r="D95" s="3">
        <f>IF(NOT(ISNUMBER($A95)),"",Inputs!$D$17+$A95*Inputs!$E$8/SQRT(Inputs!$E$6^2+Inputs!$E$7^2+Inputs!$E$8^2))</f>
        <v>182.18899999999999</v>
      </c>
      <c r="E95" s="3">
        <f>IF(NOT(ISNUMBER($A95)),"",Inputs!$B$15+Geometry!$B$15-B95)</f>
        <v>-24.932661268328502</v>
      </c>
      <c r="F95" s="3">
        <f>IF(NOT(ISNUMBER($A95)),"",Inputs!$C$15+Geometry!$B$16-C95)</f>
        <v>150.76798447238372</v>
      </c>
      <c r="G95" s="3">
        <f>IF(NOT(ISNUMBER($A95)),"",Inputs!$D$15+Geometry!$B$17-D95)</f>
        <v>11.015351937228701</v>
      </c>
      <c r="H95" s="3">
        <f>IF(NOT(ISNUMBER($A95)),"",2*(E95*Geometry!$B$18+F95*Geometry!$B$19+G95*Geometry!$B$20))</f>
        <v>4783.2686504228932</v>
      </c>
      <c r="I95" s="3">
        <f>IF(NOT(ISNUMBER($A95)),"",2*(E95*Geometry!$B$21+F95*Geometry!$B$22+G95*Geometry!$B$23))</f>
        <v>45739.971112466548</v>
      </c>
      <c r="J95" s="3">
        <f>IF(NOT(ISNUMBER($A95)),"",Geometry!$B$24^2-(E95^2+F95^2+G95^2)-(Geometry!$B$18^2+Geometry!$B$19^2+Geometry!$B$20^2))</f>
        <v>18365.870650422905</v>
      </c>
      <c r="K95" s="3">
        <f t="shared" si="20"/>
        <v>45989.396781773437</v>
      </c>
      <c r="L95" s="3">
        <f t="shared" si="21"/>
        <v>0.39935010971271717</v>
      </c>
      <c r="M95" s="3">
        <f t="shared" si="22"/>
        <v>1.4665998115696623</v>
      </c>
      <c r="N95" s="3">
        <f t="shared" si="23"/>
        <v>1.1599884595362564</v>
      </c>
      <c r="O95" s="3">
        <f>IF(M95="","",MOD(M95+Geometry!$B$47*N95+PI(),2*PI())-PI())</f>
        <v>0.30661135203340617</v>
      </c>
      <c r="P95" s="3" t="b">
        <f t="shared" si="24"/>
        <v>1</v>
      </c>
      <c r="Q95" s="3">
        <f>IF(P95=FALSE,"",IF((Geometry!$B$28*COS(O95)+Geometry!$B$32*SIN(O95)+Geometry!$B$8*Geometry!$B$30*(1-COS(O95)))&gt;=0,1,-1)*ACOS(MAX(-1,MIN(1,(Geometry!$B$27*COS(O95)+Geometry!$B$31*SIN(O95)+Geometry!$B$7*Geometry!$B$30*(1-COS(O95)))/SQRT((Geometry!$B$27*COS(O95)+Geometry!$B$31*SIN(O95)+Geometry!$B$7*Geometry!$B$30*(1-COS(O95)))^2+(Geometry!$B$28*COS(O95)+Geometry!$B$32*SIN(O95)+Geometry!$B$8*Geometry!$B$30*(1-COS(O95)))^2))))*180/PI())</f>
        <v>17.290515095184379</v>
      </c>
      <c r="R95" s="3">
        <f>IF(NOT(ISNUMBER($A95)),"",Inputs!$B$21+$A95*Inputs!$E$6/SQRT(Inputs!$E$6^2+Inputs!$E$7^2+Inputs!$E$8^2))</f>
        <v>919.87300000000005</v>
      </c>
      <c r="S95" s="3">
        <f>IF(NOT(ISNUMBER($A95)),"",Inputs!$C$21+$A95*Inputs!$E$7/SQRT(Inputs!$E$6^2+Inputs!$E$7^2+Inputs!$E$8^2))</f>
        <v>-224.45400000000001</v>
      </c>
      <c r="T95" s="3">
        <f>IF(NOT(ISNUMBER($A95)),"",Inputs!$D$21+$A95*Inputs!$E$8/SQRT(Inputs!$E$6^2+Inputs!$E$7^2+Inputs!$E$8^2))</f>
        <v>182.18899999999999</v>
      </c>
      <c r="U95" s="3">
        <f>IF(NOT(ISNUMBER($A95)),"",Inputs!$B$19+Geometry!$C$15-R95)</f>
        <v>-24.932661268328502</v>
      </c>
      <c r="V95" s="3">
        <f>IF(NOT(ISNUMBER($A95)),"",Inputs!$C$19+Geometry!$C$16-S95)</f>
        <v>-216.76798447238372</v>
      </c>
      <c r="W95" s="3">
        <f>IF(NOT(ISNUMBER($A95)),"",Inputs!$D$19+Geometry!$C$17-T95)</f>
        <v>11.015351937228701</v>
      </c>
      <c r="X95" s="3">
        <f>IF(NOT(ISNUMBER($A95)),"",2*(U95*Geometry!$C$18+V95*Geometry!$C$19+W95*Geometry!$C$20))</f>
        <v>9869.0987000682399</v>
      </c>
      <c r="Y95" s="3">
        <f>IF(NOT(ISNUMBER($A95)),"",2*(U95*Geometry!$C$21+V95*Geometry!$C$22+W95*Geometry!$C$23))</f>
        <v>-64647.807172443267</v>
      </c>
      <c r="Z95" s="3">
        <f>IF(NOT(ISNUMBER($A95)),"",Geometry!$C$24^2-(U95^2+V95^2+W95^2)-(Geometry!$C$18^2+Geometry!$C$19^2+Geometry!$C$20^2))</f>
        <v>-5891.5032999317482</v>
      </c>
      <c r="AA95" s="3">
        <f t="shared" si="25"/>
        <v>65396.774242749125</v>
      </c>
      <c r="AB95" s="3">
        <f t="shared" si="26"/>
        <v>-9.0088591802140294E-2</v>
      </c>
      <c r="AC95" s="3">
        <f t="shared" si="27"/>
        <v>-1.4193064700743925</v>
      </c>
      <c r="AD95" s="3">
        <f t="shared" si="28"/>
        <v>1.6610072249605774</v>
      </c>
      <c r="AE95" s="3">
        <f>IF(AC95="","",MOD(AC95+Geometry!$C$47*AD95+PI(),2*PI())-PI())</f>
        <v>0.24170075488618492</v>
      </c>
      <c r="AF95" s="3" t="b">
        <f t="shared" si="29"/>
        <v>1</v>
      </c>
      <c r="AG95" s="3">
        <f>IF(AF95=FALSE,"",IF((Geometry!$C$28*COS(AE95)+Geometry!$C$32*SIN(AE95)+Geometry!$C$8*Geometry!$C$30*(1-COS(AE95)))&gt;=0,1,-1)*ACOS(MAX(-1,MIN(1,(Geometry!$C$27*COS(AE95)+Geometry!$C$31*SIN(AE95)+Geometry!$C$7*Geometry!$C$30*(1-COS(AE95)))/SQRT((Geometry!$C$27*COS(AE95)+Geometry!$C$31*SIN(AE95)+Geometry!$C$7*Geometry!$C$30*(1-COS(AE95)))^2+(Geometry!$C$28*COS(AE95)+Geometry!$C$32*SIN(AE95)+Geometry!$C$8*Geometry!$C$30*(1-COS(AE95)))^2))))*180/PI())</f>
        <v>13.580211377489961</v>
      </c>
    </row>
    <row r="96" spans="1:33">
      <c r="A96" s="3">
        <f>IF(Inputs!$E$9+94*Inputs!$E$11&lt;=Inputs!$E$10,Inputs!$E$9+94*Inputs!$E$11,"")</f>
        <v>34</v>
      </c>
      <c r="B96" s="3">
        <f>IF(NOT(ISNUMBER($A96)),"",Inputs!$B$17+$A96*Inputs!$E$6/SQRT(Inputs!$E$6^2+Inputs!$E$7^2+Inputs!$E$8^2))</f>
        <v>919.87300000000005</v>
      </c>
      <c r="C96" s="3">
        <f>IF(NOT(ISNUMBER($A96)),"",Inputs!$C$17+$A96*Inputs!$E$7/SQRT(Inputs!$E$6^2+Inputs!$E$7^2+Inputs!$E$8^2))</f>
        <v>291.45400000000001</v>
      </c>
      <c r="D96" s="3">
        <f>IF(NOT(ISNUMBER($A96)),"",Inputs!$D$17+$A96*Inputs!$E$8/SQRT(Inputs!$E$6^2+Inputs!$E$7^2+Inputs!$E$8^2))</f>
        <v>182.18899999999999</v>
      </c>
      <c r="E96" s="3">
        <f>IF(NOT(ISNUMBER($A96)),"",Inputs!$B$15+Geometry!$B$15-B96)</f>
        <v>-24.932661268328502</v>
      </c>
      <c r="F96" s="3">
        <f>IF(NOT(ISNUMBER($A96)),"",Inputs!$C$15+Geometry!$B$16-C96)</f>
        <v>149.76798447238372</v>
      </c>
      <c r="G96" s="3">
        <f>IF(NOT(ISNUMBER($A96)),"",Inputs!$D$15+Geometry!$B$17-D96)</f>
        <v>11.015351937228701</v>
      </c>
      <c r="H96" s="3">
        <f>IF(NOT(ISNUMBER($A96)),"",2*(E96*Geometry!$B$18+F96*Geometry!$B$19+G96*Geometry!$B$20))</f>
        <v>4706.2106193676609</v>
      </c>
      <c r="I96" s="3">
        <f>IF(NOT(ISNUMBER($A96)),"",2*(E96*Geometry!$B$21+F96*Geometry!$B$22+G96*Geometry!$B$23))</f>
        <v>45453.488747921445</v>
      </c>
      <c r="J96" s="3">
        <f>IF(NOT(ISNUMBER($A96)),"",Geometry!$B$24^2-(E96^2+F96^2+G96^2)-(Geometry!$B$18^2+Geometry!$B$19^2+Geometry!$B$20^2))</f>
        <v>18666.40661936767</v>
      </c>
      <c r="K96" s="3">
        <f t="shared" si="20"/>
        <v>45696.477520168555</v>
      </c>
      <c r="L96" s="3">
        <f t="shared" si="21"/>
        <v>0.40848677255547938</v>
      </c>
      <c r="M96" s="3">
        <f t="shared" si="22"/>
        <v>1.4676249153530894</v>
      </c>
      <c r="N96" s="3">
        <f t="shared" si="23"/>
        <v>1.1500007322030799</v>
      </c>
      <c r="O96" s="3">
        <f>IF(M96="","",MOD(M96+Geometry!$B$47*N96+PI(),2*PI())-PI())</f>
        <v>0.31762418315000929</v>
      </c>
      <c r="P96" s="3" t="b">
        <f t="shared" si="24"/>
        <v>1</v>
      </c>
      <c r="Q96" s="3">
        <f>IF(P96=FALSE,"",IF((Geometry!$B$28*COS(O96)+Geometry!$B$32*SIN(O96)+Geometry!$B$8*Geometry!$B$30*(1-COS(O96)))&gt;=0,1,-1)*ACOS(MAX(-1,MIN(1,(Geometry!$B$27*COS(O96)+Geometry!$B$31*SIN(O96)+Geometry!$B$7*Geometry!$B$30*(1-COS(O96)))/SQRT((Geometry!$B$27*COS(O96)+Geometry!$B$31*SIN(O96)+Geometry!$B$7*Geometry!$B$30*(1-COS(O96)))^2+(Geometry!$B$28*COS(O96)+Geometry!$B$32*SIN(O96)+Geometry!$B$8*Geometry!$B$30*(1-COS(O96)))^2))))*180/PI())</f>
        <v>17.913762310431675</v>
      </c>
      <c r="R96" s="3">
        <f>IF(NOT(ISNUMBER($A96)),"",Inputs!$B$21+$A96*Inputs!$E$6/SQRT(Inputs!$E$6^2+Inputs!$E$7^2+Inputs!$E$8^2))</f>
        <v>919.87300000000005</v>
      </c>
      <c r="S96" s="3">
        <f>IF(NOT(ISNUMBER($A96)),"",Inputs!$C$21+$A96*Inputs!$E$7/SQRT(Inputs!$E$6^2+Inputs!$E$7^2+Inputs!$E$8^2))</f>
        <v>-223.45400000000001</v>
      </c>
      <c r="T96" s="3">
        <f>IF(NOT(ISNUMBER($A96)),"",Inputs!$D$21+$A96*Inputs!$E$8/SQRT(Inputs!$E$6^2+Inputs!$E$7^2+Inputs!$E$8^2))</f>
        <v>182.18899999999999</v>
      </c>
      <c r="U96" s="3">
        <f>IF(NOT(ISNUMBER($A96)),"",Inputs!$B$19+Geometry!$C$15-R96)</f>
        <v>-24.932661268328502</v>
      </c>
      <c r="V96" s="3">
        <f>IF(NOT(ISNUMBER($A96)),"",Inputs!$C$19+Geometry!$C$16-S96)</f>
        <v>-217.76798447238372</v>
      </c>
      <c r="W96" s="3">
        <f>IF(NOT(ISNUMBER($A96)),"",Inputs!$D$19+Geometry!$C$17-T96)</f>
        <v>11.015351937228701</v>
      </c>
      <c r="X96" s="3">
        <f>IF(NOT(ISNUMBER($A96)),"",2*(U96*Geometry!$C$18+V96*Geometry!$C$19+W96*Geometry!$C$20))</f>
        <v>9946.1567311234721</v>
      </c>
      <c r="Y96" s="3">
        <f>IF(NOT(ISNUMBER($A96)),"",2*(U96*Geometry!$C$21+V96*Geometry!$C$22+W96*Geometry!$C$23))</f>
        <v>-64934.28953698837</v>
      </c>
      <c r="Z96" s="3">
        <f>IF(NOT(ISNUMBER($A96)),"",Geometry!$C$24^2-(U96^2+V96^2+W96^2)-(Geometry!$C$18^2+Geometry!$C$19^2+Geometry!$C$20^2))</f>
        <v>-6326.0392688765132</v>
      </c>
      <c r="AA96" s="3">
        <f t="shared" si="25"/>
        <v>65691.612793365872</v>
      </c>
      <c r="AB96" s="3">
        <f t="shared" si="26"/>
        <v>-9.6299040316991172E-2</v>
      </c>
      <c r="AC96" s="3">
        <f t="shared" si="27"/>
        <v>-1.4188050035294517</v>
      </c>
      <c r="AD96" s="3">
        <f t="shared" si="28"/>
        <v>1.6672448299504585</v>
      </c>
      <c r="AE96" s="3">
        <f>IF(AC96="","",MOD(AC96+Geometry!$C$47*AD96+PI(),2*PI())-PI())</f>
        <v>0.24843982642100659</v>
      </c>
      <c r="AF96" s="3" t="b">
        <f t="shared" si="29"/>
        <v>1</v>
      </c>
      <c r="AG96" s="3">
        <f>IF(AF96=FALSE,"",IF((Geometry!$C$28*COS(AE96)+Geometry!$C$32*SIN(AE96)+Geometry!$C$8*Geometry!$C$30*(1-COS(AE96)))&gt;=0,1,-1)*ACOS(MAX(-1,MIN(1,(Geometry!$C$27*COS(AE96)+Geometry!$C$31*SIN(AE96)+Geometry!$C$7*Geometry!$C$30*(1-COS(AE96)))/SQRT((Geometry!$C$27*COS(AE96)+Geometry!$C$31*SIN(AE96)+Geometry!$C$7*Geometry!$C$30*(1-COS(AE96)))^2+(Geometry!$C$28*COS(AE96)+Geometry!$C$32*SIN(AE96)+Geometry!$C$8*Geometry!$C$30*(1-COS(AE96)))^2))))*180/PI())</f>
        <v>13.958755304863567</v>
      </c>
    </row>
    <row r="97" spans="1:33">
      <c r="A97" s="3">
        <f>IF(Inputs!$E$9+95*Inputs!$E$11&lt;=Inputs!$E$10,Inputs!$E$9+95*Inputs!$E$11,"")</f>
        <v>35</v>
      </c>
      <c r="B97" s="3">
        <f>IF(NOT(ISNUMBER($A97)),"",Inputs!$B$17+$A97*Inputs!$E$6/SQRT(Inputs!$E$6^2+Inputs!$E$7^2+Inputs!$E$8^2))</f>
        <v>919.87300000000005</v>
      </c>
      <c r="C97" s="3">
        <f>IF(NOT(ISNUMBER($A97)),"",Inputs!$C$17+$A97*Inputs!$E$7/SQRT(Inputs!$E$6^2+Inputs!$E$7^2+Inputs!$E$8^2))</f>
        <v>292.45400000000001</v>
      </c>
      <c r="D97" s="3">
        <f>IF(NOT(ISNUMBER($A97)),"",Inputs!$D$17+$A97*Inputs!$E$8/SQRT(Inputs!$E$6^2+Inputs!$E$7^2+Inputs!$E$8^2))</f>
        <v>182.18899999999999</v>
      </c>
      <c r="E97" s="3">
        <f>IF(NOT(ISNUMBER($A97)),"",Inputs!$B$15+Geometry!$B$15-B97)</f>
        <v>-24.932661268328502</v>
      </c>
      <c r="F97" s="3">
        <f>IF(NOT(ISNUMBER($A97)),"",Inputs!$C$15+Geometry!$B$16-C97)</f>
        <v>148.76798447238372</v>
      </c>
      <c r="G97" s="3">
        <f>IF(NOT(ISNUMBER($A97)),"",Inputs!$D$15+Geometry!$B$17-D97)</f>
        <v>11.015351937228701</v>
      </c>
      <c r="H97" s="3">
        <f>IF(NOT(ISNUMBER($A97)),"",2*(E97*Geometry!$B$18+F97*Geometry!$B$19+G97*Geometry!$B$20))</f>
        <v>4629.1525883124286</v>
      </c>
      <c r="I97" s="3">
        <f>IF(NOT(ISNUMBER($A97)),"",2*(E97*Geometry!$B$21+F97*Geometry!$B$22+G97*Geometry!$B$23))</f>
        <v>45167.006383376349</v>
      </c>
      <c r="J97" s="3">
        <f>IF(NOT(ISNUMBER($A97)),"",Geometry!$B$24^2-(E97^2+F97^2+G97^2)-(Geometry!$B$18^2+Geometry!$B$19^2+Geometry!$B$20^2))</f>
        <v>18964.942588312435</v>
      </c>
      <c r="K97" s="3">
        <f t="shared" si="20"/>
        <v>45403.606897710662</v>
      </c>
      <c r="L97" s="3">
        <f t="shared" si="21"/>
        <v>0.41769682816253711</v>
      </c>
      <c r="M97" s="3">
        <f t="shared" si="22"/>
        <v>1.4686632448620018</v>
      </c>
      <c r="N97" s="3">
        <f t="shared" si="23"/>
        <v>1.1398873837989851</v>
      </c>
      <c r="O97" s="3">
        <f>IF(M97="","",MOD(M97+Geometry!$B$47*N97+PI(),2*PI())-PI())</f>
        <v>0.32877586106301671</v>
      </c>
      <c r="P97" s="3" t="b">
        <f t="shared" si="24"/>
        <v>1</v>
      </c>
      <c r="Q97" s="3">
        <f>IF(P97=FALSE,"",IF((Geometry!$B$28*COS(O97)+Geometry!$B$32*SIN(O97)+Geometry!$B$8*Geometry!$B$30*(1-COS(O97)))&gt;=0,1,-1)*ACOS(MAX(-1,MIN(1,(Geometry!$B$27*COS(O97)+Geometry!$B$31*SIN(O97)+Geometry!$B$7*Geometry!$B$30*(1-COS(O97)))/SQRT((Geometry!$B$27*COS(O97)+Geometry!$B$31*SIN(O97)+Geometry!$B$7*Geometry!$B$30*(1-COS(O97)))^2+(Geometry!$B$28*COS(O97)+Geometry!$B$32*SIN(O97)+Geometry!$B$8*Geometry!$B$30*(1-COS(O97)))^2))))*180/PI())</f>
        <v>18.545048693576856</v>
      </c>
      <c r="R97" s="3">
        <f>IF(NOT(ISNUMBER($A97)),"",Inputs!$B$21+$A97*Inputs!$E$6/SQRT(Inputs!$E$6^2+Inputs!$E$7^2+Inputs!$E$8^2))</f>
        <v>919.87300000000005</v>
      </c>
      <c r="S97" s="3">
        <f>IF(NOT(ISNUMBER($A97)),"",Inputs!$C$21+$A97*Inputs!$E$7/SQRT(Inputs!$E$6^2+Inputs!$E$7^2+Inputs!$E$8^2))</f>
        <v>-222.45400000000001</v>
      </c>
      <c r="T97" s="3">
        <f>IF(NOT(ISNUMBER($A97)),"",Inputs!$D$21+$A97*Inputs!$E$8/SQRT(Inputs!$E$6^2+Inputs!$E$7^2+Inputs!$E$8^2))</f>
        <v>182.18899999999999</v>
      </c>
      <c r="U97" s="3">
        <f>IF(NOT(ISNUMBER($A97)),"",Inputs!$B$19+Geometry!$C$15-R97)</f>
        <v>-24.932661268328502</v>
      </c>
      <c r="V97" s="3">
        <f>IF(NOT(ISNUMBER($A97)),"",Inputs!$C$19+Geometry!$C$16-S97)</f>
        <v>-218.76798447238372</v>
      </c>
      <c r="W97" s="3">
        <f>IF(NOT(ISNUMBER($A97)),"",Inputs!$D$19+Geometry!$C$17-T97)</f>
        <v>11.015351937228701</v>
      </c>
      <c r="X97" s="3">
        <f>IF(NOT(ISNUMBER($A97)),"",2*(U97*Geometry!$C$18+V97*Geometry!$C$19+W97*Geometry!$C$20))</f>
        <v>10023.214762178704</v>
      </c>
      <c r="Y97" s="3">
        <f>IF(NOT(ISNUMBER($A97)),"",2*(U97*Geometry!$C$21+V97*Geometry!$C$22+W97*Geometry!$C$23))</f>
        <v>-65220.771901533466</v>
      </c>
      <c r="Z97" s="3">
        <f>IF(NOT(ISNUMBER($A97)),"",Geometry!$C$24^2-(U97^2+V97^2+W97^2)-(Geometry!$C$18^2+Geometry!$C$19^2+Geometry!$C$20^2))</f>
        <v>-6762.5752378212856</v>
      </c>
      <c r="AA97" s="3">
        <f t="shared" si="25"/>
        <v>65986.467715741644</v>
      </c>
      <c r="AB97" s="3">
        <f t="shared" si="26"/>
        <v>-0.10248427400225903</v>
      </c>
      <c r="AC97" s="3">
        <f t="shared" si="27"/>
        <v>-1.4183080183817303</v>
      </c>
      <c r="AD97" s="3">
        <f t="shared" si="28"/>
        <v>1.6734608532145665</v>
      </c>
      <c r="AE97" s="3">
        <f>IF(AC97="","",MOD(AC97+Geometry!$C$47*AD97+PI(),2*PI())-PI())</f>
        <v>0.25515283483283646</v>
      </c>
      <c r="AF97" s="3" t="b">
        <f t="shared" si="29"/>
        <v>1</v>
      </c>
      <c r="AG97" s="3">
        <f>IF(AF97=FALSE,"",IF((Geometry!$C$28*COS(AE97)+Geometry!$C$32*SIN(AE97)+Geometry!$C$8*Geometry!$C$30*(1-COS(AE97)))&gt;=0,1,-1)*ACOS(MAX(-1,MIN(1,(Geometry!$C$27*COS(AE97)+Geometry!$C$31*SIN(AE97)+Geometry!$C$7*Geometry!$C$30*(1-COS(AE97)))/SQRT((Geometry!$C$27*COS(AE97)+Geometry!$C$31*SIN(AE97)+Geometry!$C$7*Geometry!$C$30*(1-COS(AE97)))^2+(Geometry!$C$28*COS(AE97)+Geometry!$C$32*SIN(AE97)+Geometry!$C$8*Geometry!$C$30*(1-COS(AE97)))^2))))*180/PI())</f>
        <v>14.335845073548183</v>
      </c>
    </row>
    <row r="98" spans="1:33">
      <c r="A98" s="3">
        <f>IF(Inputs!$E$9+96*Inputs!$E$11&lt;=Inputs!$E$10,Inputs!$E$9+96*Inputs!$E$11,"")</f>
        <v>36</v>
      </c>
      <c r="B98" s="3">
        <f>IF(NOT(ISNUMBER($A98)),"",Inputs!$B$17+$A98*Inputs!$E$6/SQRT(Inputs!$E$6^2+Inputs!$E$7^2+Inputs!$E$8^2))</f>
        <v>919.87300000000005</v>
      </c>
      <c r="C98" s="3">
        <f>IF(NOT(ISNUMBER($A98)),"",Inputs!$C$17+$A98*Inputs!$E$7/SQRT(Inputs!$E$6^2+Inputs!$E$7^2+Inputs!$E$8^2))</f>
        <v>293.45400000000001</v>
      </c>
      <c r="D98" s="3">
        <f>IF(NOT(ISNUMBER($A98)),"",Inputs!$D$17+$A98*Inputs!$E$8/SQRT(Inputs!$E$6^2+Inputs!$E$7^2+Inputs!$E$8^2))</f>
        <v>182.18899999999999</v>
      </c>
      <c r="E98" s="3">
        <f>IF(NOT(ISNUMBER($A98)),"",Inputs!$B$15+Geometry!$B$15-B98)</f>
        <v>-24.932661268328502</v>
      </c>
      <c r="F98" s="3">
        <f>IF(NOT(ISNUMBER($A98)),"",Inputs!$C$15+Geometry!$B$16-C98)</f>
        <v>147.76798447238372</v>
      </c>
      <c r="G98" s="3">
        <f>IF(NOT(ISNUMBER($A98)),"",Inputs!$D$15+Geometry!$B$17-D98)</f>
        <v>11.015351937228701</v>
      </c>
      <c r="H98" s="3">
        <f>IF(NOT(ISNUMBER($A98)),"",2*(E98*Geometry!$B$18+F98*Geometry!$B$19+G98*Geometry!$B$20))</f>
        <v>4552.0945572571964</v>
      </c>
      <c r="I98" s="3">
        <f>IF(NOT(ISNUMBER($A98)),"",2*(E98*Geometry!$B$21+F98*Geometry!$B$22+G98*Geometry!$B$23))</f>
        <v>44880.524018831245</v>
      </c>
      <c r="J98" s="3">
        <f>IF(NOT(ISNUMBER($A98)),"",Geometry!$B$24^2-(E98^2+F98^2+G98^2)-(Geometry!$B$18^2+Geometry!$B$19^2+Geometry!$B$20^2))</f>
        <v>19261.4785572572</v>
      </c>
      <c r="K98" s="3">
        <f t="shared" si="20"/>
        <v>45110.785861732656</v>
      </c>
      <c r="L98" s="3">
        <f t="shared" ref="L98:L129" si="30">IF(OR(NOT(ISNUMBER($A98)),K98&lt;0.000000000001),"",MAX(-1,MIN(1,J98/K98)))</f>
        <v>0.42698166722909286</v>
      </c>
      <c r="M98" s="3">
        <f t="shared" si="22"/>
        <v>1.4697150554296743</v>
      </c>
      <c r="N98" s="3">
        <f t="shared" si="23"/>
        <v>1.1296440933327578</v>
      </c>
      <c r="O98" s="3">
        <f>IF(M98="","",MOD(M98+Geometry!$B$47*N98+PI(),2*PI())-PI())</f>
        <v>0.34007096209691667</v>
      </c>
      <c r="P98" s="3" t="b">
        <f t="shared" si="24"/>
        <v>1</v>
      </c>
      <c r="Q98" s="3">
        <f>IF(P98=FALSE,"",IF((Geometry!$B$28*COS(O98)+Geometry!$B$32*SIN(O98)+Geometry!$B$8*Geometry!$B$30*(1-COS(O98)))&gt;=0,1,-1)*ACOS(MAX(-1,MIN(1,(Geometry!$B$27*COS(O98)+Geometry!$B$31*SIN(O98)+Geometry!$B$7*Geometry!$B$30*(1-COS(O98)))/SQRT((Geometry!$B$27*COS(O98)+Geometry!$B$31*SIN(O98)+Geometry!$B$7*Geometry!$B$30*(1-COS(O98)))^2+(Geometry!$B$28*COS(O98)+Geometry!$B$32*SIN(O98)+Geometry!$B$8*Geometry!$B$30*(1-COS(O98)))^2))))*180/PI())</f>
        <v>19.184642048019121</v>
      </c>
      <c r="R98" s="3">
        <f>IF(NOT(ISNUMBER($A98)),"",Inputs!$B$21+$A98*Inputs!$E$6/SQRT(Inputs!$E$6^2+Inputs!$E$7^2+Inputs!$E$8^2))</f>
        <v>919.87300000000005</v>
      </c>
      <c r="S98" s="3">
        <f>IF(NOT(ISNUMBER($A98)),"",Inputs!$C$21+$A98*Inputs!$E$7/SQRT(Inputs!$E$6^2+Inputs!$E$7^2+Inputs!$E$8^2))</f>
        <v>-221.45400000000001</v>
      </c>
      <c r="T98" s="3">
        <f>IF(NOT(ISNUMBER($A98)),"",Inputs!$D$21+$A98*Inputs!$E$8/SQRT(Inputs!$E$6^2+Inputs!$E$7^2+Inputs!$E$8^2))</f>
        <v>182.18899999999999</v>
      </c>
      <c r="U98" s="3">
        <f>IF(NOT(ISNUMBER($A98)),"",Inputs!$B$19+Geometry!$C$15-R98)</f>
        <v>-24.932661268328502</v>
      </c>
      <c r="V98" s="3">
        <f>IF(NOT(ISNUMBER($A98)),"",Inputs!$C$19+Geometry!$C$16-S98)</f>
        <v>-219.76798447238372</v>
      </c>
      <c r="W98" s="3">
        <f>IF(NOT(ISNUMBER($A98)),"",Inputs!$D$19+Geometry!$C$17-T98)</f>
        <v>11.015351937228701</v>
      </c>
      <c r="X98" s="3">
        <f>IF(NOT(ISNUMBER($A98)),"",2*(U98*Geometry!$C$18+V98*Geometry!$C$19+W98*Geometry!$C$20))</f>
        <v>10100.272793233937</v>
      </c>
      <c r="Y98" s="3">
        <f>IF(NOT(ISNUMBER($A98)),"",2*(U98*Geometry!$C$21+V98*Geometry!$C$22+W98*Geometry!$C$23))</f>
        <v>-65507.254266078569</v>
      </c>
      <c r="Z98" s="3">
        <f>IF(NOT(ISNUMBER($A98)),"",Geometry!$C$24^2-(U98^2+V98^2+W98^2)-(Geometry!$C$18^2+Geometry!$C$19^2+Geometry!$C$20^2))</f>
        <v>-7201.1112067660506</v>
      </c>
      <c r="AA98" s="3">
        <f t="shared" si="25"/>
        <v>66281.338791385395</v>
      </c>
      <c r="AB98" s="3">
        <f t="shared" ref="AB98:AB129" si="31">IF(OR(NOT(ISNUMBER($A98)),AA98&lt;0.000000000001),"",MAX(-1,MIN(1,Z98/AA98)))</f>
        <v>-0.10864462513997954</v>
      </c>
      <c r="AC98" s="3">
        <f t="shared" si="27"/>
        <v>-1.417815455068139</v>
      </c>
      <c r="AD98" s="3">
        <f t="shared" si="28"/>
        <v>1.6796558291923773</v>
      </c>
      <c r="AE98" s="3">
        <f>IF(AC98="","",MOD(AC98+Geometry!$C$47*AD98+PI(),2*PI())-PI())</f>
        <v>0.26184037412423855</v>
      </c>
      <c r="AF98" s="3" t="b">
        <f t="shared" si="29"/>
        <v>1</v>
      </c>
      <c r="AG98" s="3">
        <f>IF(AF98=FALSE,"",IF((Geometry!$C$28*COS(AE98)+Geometry!$C$32*SIN(AE98)+Geometry!$C$8*Geometry!$C$30*(1-COS(AE98)))&gt;=0,1,-1)*ACOS(MAX(-1,MIN(1,(Geometry!$C$27*COS(AE98)+Geometry!$C$31*SIN(AE98)+Geometry!$C$7*Geometry!$C$30*(1-COS(AE98)))/SQRT((Geometry!$C$27*COS(AE98)+Geometry!$C$31*SIN(AE98)+Geometry!$C$7*Geometry!$C$30*(1-COS(AE98)))^2+(Geometry!$C$28*COS(AE98)+Geometry!$C$32*SIN(AE98)+Geometry!$C$8*Geometry!$C$30*(1-COS(AE98)))^2))))*180/PI())</f>
        <v>14.711515164449178</v>
      </c>
    </row>
    <row r="99" spans="1:33">
      <c r="A99" s="3">
        <f>IF(Inputs!$E$9+97*Inputs!$E$11&lt;=Inputs!$E$10,Inputs!$E$9+97*Inputs!$E$11,"")</f>
        <v>37</v>
      </c>
      <c r="B99" s="3">
        <f>IF(NOT(ISNUMBER($A99)),"",Inputs!$B$17+$A99*Inputs!$E$6/SQRT(Inputs!$E$6^2+Inputs!$E$7^2+Inputs!$E$8^2))</f>
        <v>919.87300000000005</v>
      </c>
      <c r="C99" s="3">
        <f>IF(NOT(ISNUMBER($A99)),"",Inputs!$C$17+$A99*Inputs!$E$7/SQRT(Inputs!$E$6^2+Inputs!$E$7^2+Inputs!$E$8^2))</f>
        <v>294.45400000000001</v>
      </c>
      <c r="D99" s="3">
        <f>IF(NOT(ISNUMBER($A99)),"",Inputs!$D$17+$A99*Inputs!$E$8/SQRT(Inputs!$E$6^2+Inputs!$E$7^2+Inputs!$E$8^2))</f>
        <v>182.18899999999999</v>
      </c>
      <c r="E99" s="3">
        <f>IF(NOT(ISNUMBER($A99)),"",Inputs!$B$15+Geometry!$B$15-B99)</f>
        <v>-24.932661268328502</v>
      </c>
      <c r="F99" s="3">
        <f>IF(NOT(ISNUMBER($A99)),"",Inputs!$C$15+Geometry!$B$16-C99)</f>
        <v>146.76798447238372</v>
      </c>
      <c r="G99" s="3">
        <f>IF(NOT(ISNUMBER($A99)),"",Inputs!$D$15+Geometry!$B$17-D99)</f>
        <v>11.015351937228701</v>
      </c>
      <c r="H99" s="3">
        <f>IF(NOT(ISNUMBER($A99)),"",2*(E99*Geometry!$B$18+F99*Geometry!$B$19+G99*Geometry!$B$20))</f>
        <v>4475.0365262019641</v>
      </c>
      <c r="I99" s="3">
        <f>IF(NOT(ISNUMBER($A99)),"",2*(E99*Geometry!$B$21+F99*Geometry!$B$22+G99*Geometry!$B$23))</f>
        <v>44594.041654286142</v>
      </c>
      <c r="J99" s="3">
        <f>IF(NOT(ISNUMBER($A99)),"",Geometry!$B$24^2-(E99^2+F99^2+G99^2)-(Geometry!$B$18^2+Geometry!$B$19^2+Geometry!$B$20^2))</f>
        <v>19556.014526201972</v>
      </c>
      <c r="K99" s="3">
        <f t="shared" si="20"/>
        <v>44818.015384162754</v>
      </c>
      <c r="L99" s="3">
        <f t="shared" si="30"/>
        <v>0.43634271528034774</v>
      </c>
      <c r="M99" s="3">
        <f t="shared" si="22"/>
        <v>1.4707806089435393</v>
      </c>
      <c r="N99" s="3">
        <f t="shared" si="23"/>
        <v>1.1192663192982559</v>
      </c>
      <c r="O99" s="3">
        <f>IF(M99="","",MOD(M99+Geometry!$B$47*N99+PI(),2*PI())-PI())</f>
        <v>0.35151428964528364</v>
      </c>
      <c r="P99" s="3" t="b">
        <f t="shared" si="24"/>
        <v>1</v>
      </c>
      <c r="Q99" s="3">
        <f>IF(P99=FALSE,"",IF((Geometry!$B$28*COS(O99)+Geometry!$B$32*SIN(O99)+Geometry!$B$8*Geometry!$B$30*(1-COS(O99)))&gt;=0,1,-1)*ACOS(MAX(-1,MIN(1,(Geometry!$B$27*COS(O99)+Geometry!$B$31*SIN(O99)+Geometry!$B$7*Geometry!$B$30*(1-COS(O99)))/SQRT((Geometry!$B$27*COS(O99)+Geometry!$B$31*SIN(O99)+Geometry!$B$7*Geometry!$B$30*(1-COS(O99)))^2+(Geometry!$B$28*COS(O99)+Geometry!$B$32*SIN(O99)+Geometry!$B$8*Geometry!$B$30*(1-COS(O99)))^2))))*180/PI())</f>
        <v>19.832823453713928</v>
      </c>
      <c r="R99" s="3">
        <f>IF(NOT(ISNUMBER($A99)),"",Inputs!$B$21+$A99*Inputs!$E$6/SQRT(Inputs!$E$6^2+Inputs!$E$7^2+Inputs!$E$8^2))</f>
        <v>919.87300000000005</v>
      </c>
      <c r="S99" s="3">
        <f>IF(NOT(ISNUMBER($A99)),"",Inputs!$C$21+$A99*Inputs!$E$7/SQRT(Inputs!$E$6^2+Inputs!$E$7^2+Inputs!$E$8^2))</f>
        <v>-220.45400000000001</v>
      </c>
      <c r="T99" s="3">
        <f>IF(NOT(ISNUMBER($A99)),"",Inputs!$D$21+$A99*Inputs!$E$8/SQRT(Inputs!$E$6^2+Inputs!$E$7^2+Inputs!$E$8^2))</f>
        <v>182.18899999999999</v>
      </c>
      <c r="U99" s="3">
        <f>IF(NOT(ISNUMBER($A99)),"",Inputs!$B$19+Geometry!$C$15-R99)</f>
        <v>-24.932661268328502</v>
      </c>
      <c r="V99" s="3">
        <f>IF(NOT(ISNUMBER($A99)),"",Inputs!$C$19+Geometry!$C$16-S99)</f>
        <v>-220.76798447238372</v>
      </c>
      <c r="W99" s="3">
        <f>IF(NOT(ISNUMBER($A99)),"",Inputs!$D$19+Geometry!$C$17-T99)</f>
        <v>11.015351937228701</v>
      </c>
      <c r="X99" s="3">
        <f>IF(NOT(ISNUMBER($A99)),"",2*(U99*Geometry!$C$18+V99*Geometry!$C$19+W99*Geometry!$C$20))</f>
        <v>10177.330824289169</v>
      </c>
      <c r="Y99" s="3">
        <f>IF(NOT(ISNUMBER($A99)),"",2*(U99*Geometry!$C$21+V99*Geometry!$C$22+W99*Geometry!$C$23))</f>
        <v>-65793.73663062368</v>
      </c>
      <c r="Z99" s="3">
        <f>IF(NOT(ISNUMBER($A99)),"",Geometry!$C$24^2-(U99^2+V99^2+W99^2)-(Geometry!$C$18^2+Geometry!$C$19^2+Geometry!$C$20^2))</f>
        <v>-7641.6471757108156</v>
      </c>
      <c r="AA99" s="3">
        <f t="shared" si="25"/>
        <v>66576.225805665032</v>
      </c>
      <c r="AB99" s="3">
        <f t="shared" si="31"/>
        <v>-0.11478042023614653</v>
      </c>
      <c r="AC99" s="3">
        <f t="shared" si="27"/>
        <v>-1.4173272550722134</v>
      </c>
      <c r="AD99" s="3">
        <f t="shared" si="28"/>
        <v>1.6858302829915413</v>
      </c>
      <c r="AE99" s="3">
        <f>IF(AC99="","",MOD(AC99+Geometry!$C$47*AD99+PI(),2*PI())-PI())</f>
        <v>0.26850302791932812</v>
      </c>
      <c r="AF99" s="3" t="b">
        <f t="shared" si="29"/>
        <v>1</v>
      </c>
      <c r="AG99" s="3">
        <f>IF(AF99=FALSE,"",IF((Geometry!$C$28*COS(AE99)+Geometry!$C$32*SIN(AE99)+Geometry!$C$8*Geometry!$C$30*(1-COS(AE99)))&gt;=0,1,-1)*ACOS(MAX(-1,MIN(1,(Geometry!$C$27*COS(AE99)+Geometry!$C$31*SIN(AE99)+Geometry!$C$7*Geometry!$C$30*(1-COS(AE99)))/SQRT((Geometry!$C$27*COS(AE99)+Geometry!$C$31*SIN(AE99)+Geometry!$C$7*Geometry!$C$30*(1-COS(AE99)))^2+(Geometry!$C$28*COS(AE99)+Geometry!$C$32*SIN(AE99)+Geometry!$C$8*Geometry!$C$30*(1-COS(AE99)))^2))))*180/PI())</f>
        <v>15.085799454631243</v>
      </c>
    </row>
    <row r="100" spans="1:33">
      <c r="A100" s="3">
        <f>IF(Inputs!$E$9+98*Inputs!$E$11&lt;=Inputs!$E$10,Inputs!$E$9+98*Inputs!$E$11,"")</f>
        <v>38</v>
      </c>
      <c r="B100" s="3">
        <f>IF(NOT(ISNUMBER($A100)),"",Inputs!$B$17+$A100*Inputs!$E$6/SQRT(Inputs!$E$6^2+Inputs!$E$7^2+Inputs!$E$8^2))</f>
        <v>919.87300000000005</v>
      </c>
      <c r="C100" s="3">
        <f>IF(NOT(ISNUMBER($A100)),"",Inputs!$C$17+$A100*Inputs!$E$7/SQRT(Inputs!$E$6^2+Inputs!$E$7^2+Inputs!$E$8^2))</f>
        <v>295.45400000000001</v>
      </c>
      <c r="D100" s="3">
        <f>IF(NOT(ISNUMBER($A100)),"",Inputs!$D$17+$A100*Inputs!$E$8/SQRT(Inputs!$E$6^2+Inputs!$E$7^2+Inputs!$E$8^2))</f>
        <v>182.18899999999999</v>
      </c>
      <c r="E100" s="3">
        <f>IF(NOT(ISNUMBER($A100)),"",Inputs!$B$15+Geometry!$B$15-B100)</f>
        <v>-24.932661268328502</v>
      </c>
      <c r="F100" s="3">
        <f>IF(NOT(ISNUMBER($A100)),"",Inputs!$C$15+Geometry!$B$16-C100)</f>
        <v>145.76798447238372</v>
      </c>
      <c r="G100" s="3">
        <f>IF(NOT(ISNUMBER($A100)),"",Inputs!$D$15+Geometry!$B$17-D100)</f>
        <v>11.015351937228701</v>
      </c>
      <c r="H100" s="3">
        <f>IF(NOT(ISNUMBER($A100)),"",2*(E100*Geometry!$B$18+F100*Geometry!$B$19+G100*Geometry!$B$20))</f>
        <v>4397.9784951467318</v>
      </c>
      <c r="I100" s="3">
        <f>IF(NOT(ISNUMBER($A100)),"",2*(E100*Geometry!$B$21+F100*Geometry!$B$22+G100*Geometry!$B$23))</f>
        <v>44307.559289741039</v>
      </c>
      <c r="J100" s="3">
        <f>IF(NOT(ISNUMBER($A100)),"",Geometry!$B$24^2-(E100^2+F100^2+G100^2)-(Geometry!$B$18^2+Geometry!$B$19^2+Geometry!$B$20^2))</f>
        <v>19848.550495146737</v>
      </c>
      <c r="K100" s="3">
        <f t="shared" si="20"/>
        <v>44525.296462322302</v>
      </c>
      <c r="L100" s="3">
        <f t="shared" si="30"/>
        <v>0.44578143375064905</v>
      </c>
      <c r="M100" s="3">
        <f t="shared" si="22"/>
        <v>1.4718601740547939</v>
      </c>
      <c r="N100" s="3">
        <f t="shared" si="23"/>
        <v>1.1087492835380579</v>
      </c>
      <c r="O100" s="3">
        <f>IF(M100="","",MOD(M100+Geometry!$B$47*N100+PI(),2*PI())-PI())</f>
        <v>0.36311089051673573</v>
      </c>
      <c r="P100" s="3" t="b">
        <f t="shared" si="24"/>
        <v>1</v>
      </c>
      <c r="Q100" s="3">
        <f>IF(P100=FALSE,"",IF((Geometry!$B$28*COS(O100)+Geometry!$B$32*SIN(O100)+Geometry!$B$8*Geometry!$B$30*(1-COS(O100)))&gt;=0,1,-1)*ACOS(MAX(-1,MIN(1,(Geometry!$B$27*COS(O100)+Geometry!$B$31*SIN(O100)+Geometry!$B$7*Geometry!$B$30*(1-COS(O100)))/SQRT((Geometry!$B$27*COS(O100)+Geometry!$B$31*SIN(O100)+Geometry!$B$7*Geometry!$B$30*(1-COS(O100)))^2+(Geometry!$B$28*COS(O100)+Geometry!$B$32*SIN(O100)+Geometry!$B$8*Geometry!$B$30*(1-COS(O100)))^2))))*180/PI())</f>
        <v>20.489888218266518</v>
      </c>
      <c r="R100" s="3">
        <f>IF(NOT(ISNUMBER($A100)),"",Inputs!$B$21+$A100*Inputs!$E$6/SQRT(Inputs!$E$6^2+Inputs!$E$7^2+Inputs!$E$8^2))</f>
        <v>919.87300000000005</v>
      </c>
      <c r="S100" s="3">
        <f>IF(NOT(ISNUMBER($A100)),"",Inputs!$C$21+$A100*Inputs!$E$7/SQRT(Inputs!$E$6^2+Inputs!$E$7^2+Inputs!$E$8^2))</f>
        <v>-219.45400000000001</v>
      </c>
      <c r="T100" s="3">
        <f>IF(NOT(ISNUMBER($A100)),"",Inputs!$D$21+$A100*Inputs!$E$8/SQRT(Inputs!$E$6^2+Inputs!$E$7^2+Inputs!$E$8^2))</f>
        <v>182.18899999999999</v>
      </c>
      <c r="U100" s="3">
        <f>IF(NOT(ISNUMBER($A100)),"",Inputs!$B$19+Geometry!$C$15-R100)</f>
        <v>-24.932661268328502</v>
      </c>
      <c r="V100" s="3">
        <f>IF(NOT(ISNUMBER($A100)),"",Inputs!$C$19+Geometry!$C$16-S100)</f>
        <v>-221.76798447238372</v>
      </c>
      <c r="W100" s="3">
        <f>IF(NOT(ISNUMBER($A100)),"",Inputs!$D$19+Geometry!$C$17-T100)</f>
        <v>11.015351937228701</v>
      </c>
      <c r="X100" s="3">
        <f>IF(NOT(ISNUMBER($A100)),"",2*(U100*Geometry!$C$18+V100*Geometry!$C$19+W100*Geometry!$C$20))</f>
        <v>10254.388855344401</v>
      </c>
      <c r="Y100" s="3">
        <f>IF(NOT(ISNUMBER($A100)),"",2*(U100*Geometry!$C$21+V100*Geometry!$C$22+W100*Geometry!$C$23))</f>
        <v>-66080.218995168776</v>
      </c>
      <c r="Z100" s="3">
        <f>IF(NOT(ISNUMBER($A100)),"",Geometry!$C$24^2-(U100^2+V100^2+W100^2)-(Geometry!$C$18^2+Geometry!$C$19^2+Geometry!$C$20^2))</f>
        <v>-8084.183144655588</v>
      </c>
      <c r="AA100" s="3">
        <f t="shared" si="25"/>
        <v>66871.128547722867</v>
      </c>
      <c r="AB100" s="3">
        <f t="shared" si="31"/>
        <v>-0.12089198014485843</v>
      </c>
      <c r="AC100" s="3">
        <f t="shared" si="27"/>
        <v>-1.4168433609013196</v>
      </c>
      <c r="AD100" s="3">
        <f t="shared" si="28"/>
        <v>1.6919847307088496</v>
      </c>
      <c r="AE100" s="3">
        <f>IF(AC100="","",MOD(AC100+Geometry!$C$47*AD100+PI(),2*PI())-PI())</f>
        <v>0.27514136980753001</v>
      </c>
      <c r="AF100" s="3" t="b">
        <f t="shared" si="29"/>
        <v>1</v>
      </c>
      <c r="AG100" s="3">
        <f>IF(AF100=FALSE,"",IF((Geometry!$C$28*COS(AE100)+Geometry!$C$32*SIN(AE100)+Geometry!$C$8*Geometry!$C$30*(1-COS(AE100)))&gt;=0,1,-1)*ACOS(MAX(-1,MIN(1,(Geometry!$C$27*COS(AE100)+Geometry!$C$31*SIN(AE100)+Geometry!$C$7*Geometry!$C$30*(1-COS(AE100)))/SQRT((Geometry!$C$27*COS(AE100)+Geometry!$C$31*SIN(AE100)+Geometry!$C$7*Geometry!$C$30*(1-COS(AE100)))^2+(Geometry!$C$28*COS(AE100)+Geometry!$C$32*SIN(AE100)+Geometry!$C$8*Geometry!$C$30*(1-COS(AE100)))^2))))*180/PI())</f>
        <v>15.458731237538212</v>
      </c>
    </row>
    <row r="101" spans="1:33">
      <c r="A101" s="3">
        <f>IF(Inputs!$E$9+99*Inputs!$E$11&lt;=Inputs!$E$10,Inputs!$E$9+99*Inputs!$E$11,"")</f>
        <v>39</v>
      </c>
      <c r="B101" s="3">
        <f>IF(NOT(ISNUMBER($A101)),"",Inputs!$B$17+$A101*Inputs!$E$6/SQRT(Inputs!$E$6^2+Inputs!$E$7^2+Inputs!$E$8^2))</f>
        <v>919.87300000000005</v>
      </c>
      <c r="C101" s="3">
        <f>IF(NOT(ISNUMBER($A101)),"",Inputs!$C$17+$A101*Inputs!$E$7/SQRT(Inputs!$E$6^2+Inputs!$E$7^2+Inputs!$E$8^2))</f>
        <v>296.45400000000001</v>
      </c>
      <c r="D101" s="3">
        <f>IF(NOT(ISNUMBER($A101)),"",Inputs!$D$17+$A101*Inputs!$E$8/SQRT(Inputs!$E$6^2+Inputs!$E$7^2+Inputs!$E$8^2))</f>
        <v>182.18899999999999</v>
      </c>
      <c r="E101" s="3">
        <f>IF(NOT(ISNUMBER($A101)),"",Inputs!$B$15+Geometry!$B$15-B101)</f>
        <v>-24.932661268328502</v>
      </c>
      <c r="F101" s="3">
        <f>IF(NOT(ISNUMBER($A101)),"",Inputs!$C$15+Geometry!$B$16-C101)</f>
        <v>144.76798447238372</v>
      </c>
      <c r="G101" s="3">
        <f>IF(NOT(ISNUMBER($A101)),"",Inputs!$D$15+Geometry!$B$17-D101)</f>
        <v>11.015351937228701</v>
      </c>
      <c r="H101" s="3">
        <f>IF(NOT(ISNUMBER($A101)),"",2*(E101*Geometry!$B$18+F101*Geometry!$B$19+G101*Geometry!$B$20))</f>
        <v>4320.9204640914977</v>
      </c>
      <c r="I101" s="3">
        <f>IF(NOT(ISNUMBER($A101)),"",2*(E101*Geometry!$B$21+F101*Geometry!$B$22+G101*Geometry!$B$23))</f>
        <v>44021.076925195943</v>
      </c>
      <c r="J101" s="3">
        <f>IF(NOT(ISNUMBER($A101)),"",Geometry!$B$24^2-(E101^2+F101^2+G101^2)-(Geometry!$B$18^2+Geometry!$B$19^2+Geometry!$B$20^2))</f>
        <v>20139.08646409151</v>
      </c>
      <c r="K101" s="3">
        <f t="shared" si="20"/>
        <v>44232.630119754613</v>
      </c>
      <c r="L101" s="3">
        <f t="shared" si="30"/>
        <v>0.45529932110225679</v>
      </c>
      <c r="M101" s="3">
        <f t="shared" si="22"/>
        <v>1.4729540263960137</v>
      </c>
      <c r="N101" s="3">
        <f t="shared" si="23"/>
        <v>1.0980879535481554</v>
      </c>
      <c r="O101" s="3">
        <f>IF(M101="","",MOD(M101+Geometry!$B$47*N101+PI(),2*PI())-PI())</f>
        <v>0.37486607284785833</v>
      </c>
      <c r="P101" s="3" t="b">
        <f t="shared" si="24"/>
        <v>1</v>
      </c>
      <c r="Q101" s="3">
        <f>IF(P101=FALSE,"",IF((Geometry!$B$28*COS(O101)+Geometry!$B$32*SIN(O101)+Geometry!$B$8*Geometry!$B$30*(1-COS(O101)))&gt;=0,1,-1)*ACOS(MAX(-1,MIN(1,(Geometry!$B$27*COS(O101)+Geometry!$B$31*SIN(O101)+Geometry!$B$7*Geometry!$B$30*(1-COS(O101)))/SQRT((Geometry!$B$27*COS(O101)+Geometry!$B$31*SIN(O101)+Geometry!$B$7*Geometry!$B$30*(1-COS(O101)))^2+(Geometry!$B$28*COS(O101)+Geometry!$B$32*SIN(O101)+Geometry!$B$8*Geometry!$B$30*(1-COS(O101)))^2))))*180/PI())</f>
        <v>21.156146918745762</v>
      </c>
      <c r="R101" s="3">
        <f>IF(NOT(ISNUMBER($A101)),"",Inputs!$B$21+$A101*Inputs!$E$6/SQRT(Inputs!$E$6^2+Inputs!$E$7^2+Inputs!$E$8^2))</f>
        <v>919.87300000000005</v>
      </c>
      <c r="S101" s="3">
        <f>IF(NOT(ISNUMBER($A101)),"",Inputs!$C$21+$A101*Inputs!$E$7/SQRT(Inputs!$E$6^2+Inputs!$E$7^2+Inputs!$E$8^2))</f>
        <v>-218.45400000000001</v>
      </c>
      <c r="T101" s="3">
        <f>IF(NOT(ISNUMBER($A101)),"",Inputs!$D$21+$A101*Inputs!$E$8/SQRT(Inputs!$E$6^2+Inputs!$E$7^2+Inputs!$E$8^2))</f>
        <v>182.18899999999999</v>
      </c>
      <c r="U101" s="3">
        <f>IF(NOT(ISNUMBER($A101)),"",Inputs!$B$19+Geometry!$C$15-R101)</f>
        <v>-24.932661268328502</v>
      </c>
      <c r="V101" s="3">
        <f>IF(NOT(ISNUMBER($A101)),"",Inputs!$C$19+Geometry!$C$16-S101)</f>
        <v>-222.76798447238372</v>
      </c>
      <c r="W101" s="3">
        <f>IF(NOT(ISNUMBER($A101)),"",Inputs!$D$19+Geometry!$C$17-T101)</f>
        <v>11.015351937228701</v>
      </c>
      <c r="X101" s="3">
        <f>IF(NOT(ISNUMBER($A101)),"",2*(U101*Geometry!$C$18+V101*Geometry!$C$19+W101*Geometry!$C$20))</f>
        <v>10331.446886399634</v>
      </c>
      <c r="Y101" s="3">
        <f>IF(NOT(ISNUMBER($A101)),"",2*(U101*Geometry!$C$21+V101*Geometry!$C$22+W101*Geometry!$C$23))</f>
        <v>-66366.701359713872</v>
      </c>
      <c r="Z101" s="3">
        <f>IF(NOT(ISNUMBER($A101)),"",Geometry!$C$24^2-(U101^2+V101^2+W101^2)-(Geometry!$C$18^2+Geometry!$C$19^2+Geometry!$C$20^2))</f>
        <v>-8528.719113600353</v>
      </c>
      <c r="AA101" s="3">
        <f t="shared" si="25"/>
        <v>67166.046810393294</v>
      </c>
      <c r="AB101" s="3">
        <f t="shared" si="31"/>
        <v>-0.12697962018929804</v>
      </c>
      <c r="AC101" s="3">
        <f t="shared" si="27"/>
        <v>-1.4163637160644507</v>
      </c>
      <c r="AD101" s="3">
        <f t="shared" si="28"/>
        <v>1.6981196797407319</v>
      </c>
      <c r="AE101" s="3">
        <f>IF(AC101="","",MOD(AC101+Geometry!$C$47*AD101+PI(),2*PI())-PI())</f>
        <v>0.28175596367628142</v>
      </c>
      <c r="AF101" s="3" t="b">
        <f t="shared" si="29"/>
        <v>1</v>
      </c>
      <c r="AG101" s="3">
        <f>IF(AF101=FALSE,"",IF((Geometry!$C$28*COS(AE101)+Geometry!$C$32*SIN(AE101)+Geometry!$C$8*Geometry!$C$30*(1-COS(AE101)))&gt;=0,1,-1)*ACOS(MAX(-1,MIN(1,(Geometry!$C$27*COS(AE101)+Geometry!$C$31*SIN(AE101)+Geometry!$C$7*Geometry!$C$30*(1-COS(AE101)))/SQRT((Geometry!$C$27*COS(AE101)+Geometry!$C$31*SIN(AE101)+Geometry!$C$7*Geometry!$C$30*(1-COS(AE101)))^2+(Geometry!$C$28*COS(AE101)+Geometry!$C$32*SIN(AE101)+Geometry!$C$8*Geometry!$C$30*(1-COS(AE101)))^2))))*180/PI())</f>
        <v>15.830343242561698</v>
      </c>
    </row>
    <row r="102" spans="1:33">
      <c r="A102" s="3">
        <f>IF(Inputs!$E$9+100*Inputs!$E$11&lt;=Inputs!$E$10,Inputs!$E$9+100*Inputs!$E$11,"")</f>
        <v>40</v>
      </c>
      <c r="B102" s="3">
        <f>IF(NOT(ISNUMBER($A102)),"",Inputs!$B$17+$A102*Inputs!$E$6/SQRT(Inputs!$E$6^2+Inputs!$E$7^2+Inputs!$E$8^2))</f>
        <v>919.87300000000005</v>
      </c>
      <c r="C102" s="3">
        <f>IF(NOT(ISNUMBER($A102)),"",Inputs!$C$17+$A102*Inputs!$E$7/SQRT(Inputs!$E$6^2+Inputs!$E$7^2+Inputs!$E$8^2))</f>
        <v>297.45400000000001</v>
      </c>
      <c r="D102" s="3">
        <f>IF(NOT(ISNUMBER($A102)),"",Inputs!$D$17+$A102*Inputs!$E$8/SQRT(Inputs!$E$6^2+Inputs!$E$7^2+Inputs!$E$8^2))</f>
        <v>182.18899999999999</v>
      </c>
      <c r="E102" s="3">
        <f>IF(NOT(ISNUMBER($A102)),"",Inputs!$B$15+Geometry!$B$15-B102)</f>
        <v>-24.932661268328502</v>
      </c>
      <c r="F102" s="3">
        <f>IF(NOT(ISNUMBER($A102)),"",Inputs!$C$15+Geometry!$B$16-C102)</f>
        <v>143.76798447238372</v>
      </c>
      <c r="G102" s="3">
        <f>IF(NOT(ISNUMBER($A102)),"",Inputs!$D$15+Geometry!$B$17-D102)</f>
        <v>11.015351937228701</v>
      </c>
      <c r="H102" s="3">
        <f>IF(NOT(ISNUMBER($A102)),"",2*(E102*Geometry!$B$18+F102*Geometry!$B$19+G102*Geometry!$B$20))</f>
        <v>4243.8624330362654</v>
      </c>
      <c r="I102" s="3">
        <f>IF(NOT(ISNUMBER($A102)),"",2*(E102*Geometry!$B$21+F102*Geometry!$B$22+G102*Geometry!$B$23))</f>
        <v>43734.594560650839</v>
      </c>
      <c r="J102" s="3">
        <f>IF(NOT(ISNUMBER($A102)),"",Geometry!$B$24^2-(E102^2+F102^2+G102^2)-(Geometry!$B$18^2+Geometry!$B$19^2+Geometry!$B$20^2))</f>
        <v>20427.622433036275</v>
      </c>
      <c r="K102" s="3">
        <f t="shared" si="20"/>
        <v>43940.017407086292</v>
      </c>
      <c r="L102" s="3">
        <f t="shared" si="30"/>
        <v>0.46489791398539299</v>
      </c>
      <c r="M102" s="3">
        <f t="shared" si="22"/>
        <v>1.4740624488071399</v>
      </c>
      <c r="N102" s="3">
        <f t="shared" si="23"/>
        <v>1.0872770230341779</v>
      </c>
      <c r="O102" s="3">
        <f>IF(M102="","",MOD(M102+Geometry!$B$47*N102+PI(),2*PI())-PI())</f>
        <v>0.38678542577296193</v>
      </c>
      <c r="P102" s="3" t="b">
        <f t="shared" si="24"/>
        <v>1</v>
      </c>
      <c r="Q102" s="3">
        <f>IF(P102=FALSE,"",IF((Geometry!$B$28*COS(O102)+Geometry!$B$32*SIN(O102)+Geometry!$B$8*Geometry!$B$30*(1-COS(O102)))&gt;=0,1,-1)*ACOS(MAX(-1,MIN(1,(Geometry!$B$27*COS(O102)+Geometry!$B$31*SIN(O102)+Geometry!$B$7*Geometry!$B$30*(1-COS(O102)))/SQRT((Geometry!$B$27*COS(O102)+Geometry!$B$31*SIN(O102)+Geometry!$B$7*Geometry!$B$30*(1-COS(O102)))^2+(Geometry!$B$28*COS(O102)+Geometry!$B$32*SIN(O102)+Geometry!$B$8*Geometry!$B$30*(1-COS(O102)))^2))))*180/PI())</f>
        <v>21.831926545172564</v>
      </c>
      <c r="R102" s="3">
        <f>IF(NOT(ISNUMBER($A102)),"",Inputs!$B$21+$A102*Inputs!$E$6/SQRT(Inputs!$E$6^2+Inputs!$E$7^2+Inputs!$E$8^2))</f>
        <v>919.87300000000005</v>
      </c>
      <c r="S102" s="3">
        <f>IF(NOT(ISNUMBER($A102)),"",Inputs!$C$21+$A102*Inputs!$E$7/SQRT(Inputs!$E$6^2+Inputs!$E$7^2+Inputs!$E$8^2))</f>
        <v>-217.45400000000001</v>
      </c>
      <c r="T102" s="3">
        <f>IF(NOT(ISNUMBER($A102)),"",Inputs!$D$21+$A102*Inputs!$E$8/SQRT(Inputs!$E$6^2+Inputs!$E$7^2+Inputs!$E$8^2))</f>
        <v>182.18899999999999</v>
      </c>
      <c r="U102" s="3">
        <f>IF(NOT(ISNUMBER($A102)),"",Inputs!$B$19+Geometry!$C$15-R102)</f>
        <v>-24.932661268328502</v>
      </c>
      <c r="V102" s="3">
        <f>IF(NOT(ISNUMBER($A102)),"",Inputs!$C$19+Geometry!$C$16-S102)</f>
        <v>-223.76798447238372</v>
      </c>
      <c r="W102" s="3">
        <f>IF(NOT(ISNUMBER($A102)),"",Inputs!$D$19+Geometry!$C$17-T102)</f>
        <v>11.015351937228701</v>
      </c>
      <c r="X102" s="3">
        <f>IF(NOT(ISNUMBER($A102)),"",2*(U102*Geometry!$C$18+V102*Geometry!$C$19+W102*Geometry!$C$20))</f>
        <v>10408.504917454866</v>
      </c>
      <c r="Y102" s="3">
        <f>IF(NOT(ISNUMBER($A102)),"",2*(U102*Geometry!$C$21+V102*Geometry!$C$22+W102*Geometry!$C$23))</f>
        <v>-66653.183724258983</v>
      </c>
      <c r="Z102" s="3">
        <f>IF(NOT(ISNUMBER($A102)),"",Geometry!$C$24^2-(U102^2+V102^2+W102^2)-(Geometry!$C$18^2+Geometry!$C$19^2+Geometry!$C$20^2))</f>
        <v>-8975.2550825451181</v>
      </c>
      <c r="AA102" s="3">
        <f t="shared" si="25"/>
        <v>67460.980390122597</v>
      </c>
      <c r="AB102" s="3">
        <f t="shared" si="31"/>
        <v>-0.13304365027963994</v>
      </c>
      <c r="AC102" s="3">
        <f t="shared" si="27"/>
        <v>-1.4158882650505966</v>
      </c>
      <c r="AD102" s="3">
        <f t="shared" si="28"/>
        <v>1.7042356290837863</v>
      </c>
      <c r="AE102" s="3">
        <f>IF(AC102="","",MOD(AC102+Geometry!$C$47*AD102+PI(),2*PI())-PI())</f>
        <v>0.28834736403318972</v>
      </c>
      <c r="AF102" s="3" t="b">
        <f t="shared" si="29"/>
        <v>1</v>
      </c>
      <c r="AG102" s="3">
        <f>IF(AF102=FALSE,"",IF((Geometry!$C$28*COS(AE102)+Geometry!$C$32*SIN(AE102)+Geometry!$C$8*Geometry!$C$30*(1-COS(AE102)))&gt;=0,1,-1)*ACOS(MAX(-1,MIN(1,(Geometry!$C$27*COS(AE102)+Geometry!$C$31*SIN(AE102)+Geometry!$C$7*Geometry!$C$30*(1-COS(AE102)))/SQRT((Geometry!$C$27*COS(AE102)+Geometry!$C$31*SIN(AE102)+Geometry!$C$7*Geometry!$C$30*(1-COS(AE102)))^2+(Geometry!$C$28*COS(AE102)+Geometry!$C$32*SIN(AE102)+Geometry!$C$8*Geometry!$C$30*(1-COS(AE102)))^2))))*180/PI())</f>
        <v>16.200667653988138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4"/>
  <sheetViews>
    <sheetView topLeftCell="A58" workbookViewId="0">
      <selection activeCell="A62" sqref="A62:F64"/>
    </sheetView>
  </sheetViews>
  <sheetFormatPr defaultRowHeight="13.5"/>
  <cols>
    <col min="1" max="3" width="15" customWidth="1"/>
    <col min="4" max="4" width="10" customWidth="1"/>
    <col min="5" max="16" width="15" customWidth="1"/>
  </cols>
  <sheetData>
    <row r="1" spans="1:16" ht="12.5" customHeight="1">
      <c r="A1" s="15" t="s">
        <v>115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3" spans="1:16" ht="13.9">
      <c r="A3" s="1" t="s">
        <v>116</v>
      </c>
      <c r="B3" s="1" t="s">
        <v>117</v>
      </c>
      <c r="C3" s="1" t="s">
        <v>118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  <c r="K3" s="1" t="s">
        <v>126</v>
      </c>
      <c r="L3" s="1" t="s">
        <v>127</v>
      </c>
      <c r="M3" s="1" t="s">
        <v>128</v>
      </c>
      <c r="N3" s="1" t="s">
        <v>129</v>
      </c>
      <c r="O3" s="1" t="s">
        <v>130</v>
      </c>
      <c r="P3" s="1" t="s">
        <v>131</v>
      </c>
    </row>
    <row r="4" spans="1:16">
      <c r="A4" s="7">
        <f>Math!A2</f>
        <v>-60</v>
      </c>
      <c r="B4" s="8">
        <f>IF(OR(Math!P2=FALSE,Math!A2=""),"",Math!Q2)</f>
        <v>-23.382210492064207</v>
      </c>
      <c r="C4" s="8">
        <f>IF(OR(Math!AF2=FALSE,Math!A2=""),"",Math!AG2)</f>
        <v>-38.075272281961773</v>
      </c>
      <c r="D4" t="str">
        <f t="shared" ref="D4:D35" si="0">IF(OR(B4="",C4=""),"",IF(ABS((B4+C4)/2)&lt;0.0001,"Straight",IF((B4+C4)/2&gt;0,"Left","Right")))</f>
        <v>Right</v>
      </c>
      <c r="E4" s="8">
        <f t="shared" ref="E4:E35" si="1">IF(OR(B4="",C4="",D4="Straight"),"",IF(D4="Left",ABS(B4),ABS(C4)))</f>
        <v>38.075272281961773</v>
      </c>
      <c r="F4" s="8">
        <f t="shared" ref="F4:F35" si="2">IF(OR(B4="",C4="",D4="Straight"),"",IF(D4="Left",ABS(C4),ABS(B4)))</f>
        <v>23.382210492064207</v>
      </c>
      <c r="G4" s="8">
        <f>IF(OR(E4="",F4=""),"",IF(OR(ABS(E4)&lt;0.000000001,ABS(F4)&lt;0.000000001),"",((1/TAN(F4*PI()/180))-(1/TAN(E4*PI()/180)))/(Inputs!$B$7/Inputs!$B$6)*100))</f>
        <v>134.72577617462269</v>
      </c>
      <c r="H4" s="9">
        <f>IF(E4="","",Inputs!$B$6/TAN(E4*PI()/180)+Inputs!$B$7/2)</f>
        <v>2159.4258838335845</v>
      </c>
      <c r="I4" s="9">
        <f>IF(F4="","",Inputs!$B$6/TAN(F4*PI()/180)-Inputs!$B$7/2)</f>
        <v>2506.6836455798116</v>
      </c>
      <c r="J4" s="9">
        <f t="shared" ref="J4:J35" si="3">IF(OR(H4="",I4=""),"",AVERAGE(H4,I4))</f>
        <v>2333.0547647066978</v>
      </c>
      <c r="K4" s="9">
        <f t="shared" ref="K4:K35" si="4">IF(OR(H4="",I4=""),"",I4-H4)</f>
        <v>347.25776174622706</v>
      </c>
      <c r="L4" s="9">
        <f>IF(OR(B4="",C4="",ABS(SIN(RADIANS(C4-B4)))&lt;0.000000001),"",Inputs!$B$7*SIN(RADIANS(B4))*SIN(RADIANS(C4))/SIN(RADIANS(C4-B4)))</f>
        <v>-964.92299908150153</v>
      </c>
      <c r="M4" s="9">
        <f>IF(L4="","",-Inputs!$B$7/2*(COS(RADIANS(B4))*SIN(RADIANS(C4))+COS(RADIANS(C4))*SIN(RADIANS(B4)))/SIN(RADIANS(C4-B4)))</f>
        <v>-1731.7063081401336</v>
      </c>
      <c r="N4" s="9">
        <f>IF(L4="","",L4+Inputs!$B$6)</f>
        <v>335.07700091849847</v>
      </c>
      <c r="O4" s="9">
        <f>IF(J4="","",SQRT(Inputs!$B$6^2+(ABS(J4)+Inputs!$B$7/2)^2))</f>
        <v>3117.081856452814</v>
      </c>
      <c r="P4" s="10" t="str">
        <f>IF(A4="","",IF(AND(Math!P2,Math!AF2),"OK","No solution"))</f>
        <v>OK</v>
      </c>
    </row>
    <row r="5" spans="1:16">
      <c r="A5" s="7">
        <f>Math!A3</f>
        <v>-59</v>
      </c>
      <c r="B5" s="8">
        <f>IF(OR(Math!P3=FALSE,Math!A3=""),"",Math!Q3)</f>
        <v>-23.031572814599087</v>
      </c>
      <c r="C5" s="8">
        <f>IF(OR(Math!AF3=FALSE,Math!A3=""),"",Math!AG3)</f>
        <v>-37.096952420737558</v>
      </c>
      <c r="D5" t="str">
        <f t="shared" si="0"/>
        <v>Right</v>
      </c>
      <c r="E5" s="8">
        <f t="shared" si="1"/>
        <v>37.096952420737558</v>
      </c>
      <c r="F5" s="8">
        <f t="shared" si="2"/>
        <v>23.031572814599087</v>
      </c>
      <c r="G5" s="8">
        <f>IF(OR(E5="",F5=""),"",IF(OR(ABS(E5)&lt;0.000000001,ABS(F5)&lt;0.000000001),"",((1/TAN(F5*PI()/180))-(1/TAN(E5*PI()/180)))/(Inputs!$B$7/Inputs!$B$6)*100))</f>
        <v>133.88237719227664</v>
      </c>
      <c r="H5" s="9">
        <f>IF(E5="","",Inputs!$B$6/TAN(E5*PI()/180)+Inputs!$B$7/2)</f>
        <v>2219.0981706731668</v>
      </c>
      <c r="I5" s="9">
        <f>IF(F5="","",Inputs!$B$6/TAN(F5*PI()/180)-Inputs!$B$7/2)</f>
        <v>2557.9219425959332</v>
      </c>
      <c r="J5" s="9">
        <f t="shared" si="3"/>
        <v>2388.51005663455</v>
      </c>
      <c r="K5" s="9">
        <f t="shared" si="4"/>
        <v>338.82377192276635</v>
      </c>
      <c r="L5" s="9">
        <f>IF(OR(B5="",C5="",ABS(SIN(RADIANS(C5-B5)))&lt;0.000000001),"",Inputs!$B$7*SIN(RADIANS(B5))*SIN(RADIANS(C5))/SIN(RADIANS(C5-B5)))</f>
        <v>-971.00158158455088</v>
      </c>
      <c r="M5" s="9">
        <f>IF(L5="","",-Inputs!$B$7/2*(COS(RADIANS(B5))*SIN(RADIANS(C5))+COS(RADIANS(C5))*SIN(RADIANS(B5)))/SIN(RADIANS(C5-B5)))</f>
        <v>-1784.0361866328867</v>
      </c>
      <c r="N5" s="9">
        <f>IF(L5="","",L5+Inputs!$B$6)</f>
        <v>328.99841841544912</v>
      </c>
      <c r="O5" s="9">
        <f>IF(J5="","",SQRT(Inputs!$B$6^2+(ABS(J5)+Inputs!$B$7/2)^2))</f>
        <v>3167.5685229019009</v>
      </c>
      <c r="P5" s="10" t="str">
        <f>IF(A5="","",IF(AND(Math!P3,Math!AF3),"OK","No solution"))</f>
        <v>OK</v>
      </c>
    </row>
    <row r="6" spans="1:16">
      <c r="A6" s="7">
        <f>Math!A4</f>
        <v>-58</v>
      </c>
      <c r="B6" s="8">
        <f>IF(OR(Math!P4=FALSE,Math!A4=""),"",Math!Q4)</f>
        <v>-22.680201501063042</v>
      </c>
      <c r="C6" s="8">
        <f>IF(OR(Math!AF4=FALSE,Math!A4=""),"",Math!AG4)</f>
        <v>-36.141795169058689</v>
      </c>
      <c r="D6" t="str">
        <f t="shared" si="0"/>
        <v>Right</v>
      </c>
      <c r="E6" s="8">
        <f t="shared" si="1"/>
        <v>36.141795169058689</v>
      </c>
      <c r="F6" s="8">
        <f t="shared" si="2"/>
        <v>22.680201501063042</v>
      </c>
      <c r="G6" s="8">
        <f>IF(OR(E6="",F6=""),"",IF(OR(ABS(E6)&lt;0.000000001,ABS(F6)&lt;0.000000001),"",((1/TAN(F6*PI()/180))-(1/TAN(E6*PI()/180)))/(Inputs!$B$7/Inputs!$B$6)*100))</f>
        <v>133.07528841722655</v>
      </c>
      <c r="H6" s="9">
        <f>IF(E6="","",Inputs!$B$6/TAN(E6*PI()/180)+Inputs!$B$7/2)</f>
        <v>2280.0160503225343</v>
      </c>
      <c r="I6" s="9">
        <f>IF(F6="","",Inputs!$B$6/TAN(F6*PI()/180)-Inputs!$B$7/2)</f>
        <v>2610.7689344947999</v>
      </c>
      <c r="J6" s="9">
        <f t="shared" si="3"/>
        <v>2445.3924924086668</v>
      </c>
      <c r="K6" s="9">
        <f t="shared" si="4"/>
        <v>330.75288417226557</v>
      </c>
      <c r="L6" s="9">
        <f>IF(OR(B6="",C6="",ABS(SIN(RADIANS(C6-B6)))&lt;0.000000001),"",Inputs!$B$7*SIN(RADIANS(B6))*SIN(RADIANS(C6))/SIN(RADIANS(C6-B6)))</f>
        <v>-976.8906124209575</v>
      </c>
      <c r="M6" s="9">
        <f>IF(L6="","",-Inputs!$B$7/2*(COS(RADIANS(B6))*SIN(RADIANS(C6))+COS(RADIANS(C6))*SIN(RADIANS(B6)))/SIN(RADIANS(C6-B6)))</f>
        <v>-1837.6007457836263</v>
      </c>
      <c r="N6" s="9">
        <f>IF(L6="","",L6+Inputs!$B$6)</f>
        <v>323.1093875790425</v>
      </c>
      <c r="O6" s="9">
        <f>IF(J6="","",SQRT(Inputs!$B$6^2+(ABS(J6)+Inputs!$B$7/2)^2))</f>
        <v>3219.5243335526038</v>
      </c>
      <c r="P6" s="10" t="str">
        <f>IF(A6="","",IF(AND(Math!P4,Math!AF4),"OK","No solution"))</f>
        <v>OK</v>
      </c>
    </row>
    <row r="7" spans="1:16">
      <c r="A7" s="7">
        <f>Math!A5</f>
        <v>-57</v>
      </c>
      <c r="B7" s="8">
        <f>IF(OR(Math!P5=FALSE,Math!A5=""),"",Math!Q5)</f>
        <v>-22.328072030634157</v>
      </c>
      <c r="C7" s="8">
        <f>IF(OR(Math!AF5=FALSE,Math!A5=""),"",Math!AG5)</f>
        <v>-35.208507709164365</v>
      </c>
      <c r="D7" t="str">
        <f t="shared" si="0"/>
        <v>Right</v>
      </c>
      <c r="E7" s="8">
        <f t="shared" si="1"/>
        <v>35.208507709164365</v>
      </c>
      <c r="F7" s="8">
        <f t="shared" si="2"/>
        <v>22.328072030634157</v>
      </c>
      <c r="G7" s="8">
        <f>IF(OR(E7="",F7=""),"",IF(OR(ABS(E7)&lt;0.000000001,ABS(F7)&lt;0.000000001),"",((1/TAN(F7*PI()/180))-(1/TAN(E7*PI()/180)))/(Inputs!$B$7/Inputs!$B$6)*100))</f>
        <v>132.30225987128043</v>
      </c>
      <c r="H7" s="9">
        <f>IF(E7="","",Inputs!$B$6/TAN(E7*PI()/180)+Inputs!$B$7/2)</f>
        <v>2342.2866514229504</v>
      </c>
      <c r="I7" s="9">
        <f>IF(F7="","",Inputs!$B$6/TAN(F7*PI()/180)-Inputs!$B$7/2)</f>
        <v>2665.3092501357546</v>
      </c>
      <c r="J7" s="9">
        <f t="shared" si="3"/>
        <v>2503.7979507793525</v>
      </c>
      <c r="K7" s="9">
        <f t="shared" si="4"/>
        <v>323.02259871280421</v>
      </c>
      <c r="L7" s="9">
        <f>IF(OR(B7="",C7="",ABS(SIN(RADIANS(C7-B7)))&lt;0.000000001),"",Inputs!$B$7*SIN(RADIANS(B7))*SIN(RADIANS(C7))/SIN(RADIANS(C7-B7)))</f>
        <v>-982.5984841565039</v>
      </c>
      <c r="M7" s="9">
        <f>IF(L7="","",-Inputs!$B$7/2*(COS(RADIANS(B7))*SIN(RADIANS(C7))+COS(RADIANS(C7))*SIN(RADIANS(B7)))/SIN(RADIANS(C7-B7)))</f>
        <v>-1892.4831315922713</v>
      </c>
      <c r="N7" s="9">
        <f>IF(L7="","",L7+Inputs!$B$6)</f>
        <v>317.4015158434961</v>
      </c>
      <c r="O7" s="9">
        <f>IF(J7="","",SQRT(Inputs!$B$6^2+(ABS(J7)+Inputs!$B$7/2)^2))</f>
        <v>3273.0417243148972</v>
      </c>
      <c r="P7" s="10" t="str">
        <f>IF(A7="","",IF(AND(Math!P5,Math!AF5),"OK","No solution"))</f>
        <v>OK</v>
      </c>
    </row>
    <row r="8" spans="1:16">
      <c r="A8" s="7">
        <f>Math!A6</f>
        <v>-56</v>
      </c>
      <c r="B8" s="8">
        <f>IF(OR(Math!P6=FALSE,Math!A6=""),"",Math!Q6)</f>
        <v>-21.975159622095237</v>
      </c>
      <c r="C8" s="8">
        <f>IF(OR(Math!AF6=FALSE,Math!A6=""),"",Math!AG6)</f>
        <v>-34.295910708197056</v>
      </c>
      <c r="D8" t="str">
        <f t="shared" si="0"/>
        <v>Right</v>
      </c>
      <c r="E8" s="8">
        <f t="shared" si="1"/>
        <v>34.295910708197056</v>
      </c>
      <c r="F8" s="8">
        <f t="shared" si="2"/>
        <v>21.975159622095237</v>
      </c>
      <c r="G8" s="8">
        <f>IF(OR(E8="",F8=""),"",IF(OR(ABS(E8)&lt;0.000000001,ABS(F8)&lt;0.000000001),"",((1/TAN(F8*PI()/180))-(1/TAN(E8*PI()/180)))/(Inputs!$B$7/Inputs!$B$6)*100))</f>
        <v>131.56126056754925</v>
      </c>
      <c r="H8" s="9">
        <f>IF(E8="","",Inputs!$B$6/TAN(E8*PI()/180)+Inputs!$B$7/2)</f>
        <v>2406.0209363501594</v>
      </c>
      <c r="I8" s="9">
        <f>IF(F8="","",Inputs!$B$6/TAN(F8*PI()/180)-Inputs!$B$7/2)</f>
        <v>2721.6335420256519</v>
      </c>
      <c r="J8" s="9">
        <f t="shared" si="3"/>
        <v>2563.8272391879054</v>
      </c>
      <c r="K8" s="9">
        <f t="shared" si="4"/>
        <v>315.61260567549243</v>
      </c>
      <c r="L8" s="9">
        <f>IF(OR(B8="",C8="",ABS(SIN(RADIANS(C8-B8)))&lt;0.000000001),"",Inputs!$B$7*SIN(RADIANS(B8))*SIN(RADIANS(C8))/SIN(RADIANS(C8-B8)))</f>
        <v>-988.13282450461418</v>
      </c>
      <c r="M8" s="9">
        <f>IF(L8="","",-Inputs!$B$7/2*(COS(RADIANS(B8))*SIN(RADIANS(C8))+COS(RADIANS(C8))*SIN(RADIANS(B8)))/SIN(RADIANS(C8-B8)))</f>
        <v>-1948.7706549235481</v>
      </c>
      <c r="N8" s="9">
        <f>IF(L8="","",L8+Inputs!$B$6)</f>
        <v>311.86717549538582</v>
      </c>
      <c r="O8" s="9">
        <f>IF(J8="","",SQRT(Inputs!$B$6^2+(ABS(J8)+Inputs!$B$7/2)^2))</f>
        <v>3328.2183449391932</v>
      </c>
      <c r="P8" s="10" t="str">
        <f>IF(A8="","",IF(AND(Math!P6,Math!AF6),"OK","No solution"))</f>
        <v>OK</v>
      </c>
    </row>
    <row r="9" spans="1:16">
      <c r="A9" s="7">
        <f>Math!A7</f>
        <v>-55</v>
      </c>
      <c r="B9" s="8">
        <f>IF(OR(Math!P7=FALSE,Math!A7=""),"",Math!Q7)</f>
        <v>-21.62143922267148</v>
      </c>
      <c r="C9" s="8">
        <f>IF(OR(Math!AF7=FALSE,Math!A7=""),"",Math!AG7)</f>
        <v>-33.402924569272614</v>
      </c>
      <c r="D9" t="str">
        <f t="shared" si="0"/>
        <v>Right</v>
      </c>
      <c r="E9" s="8">
        <f t="shared" si="1"/>
        <v>33.402924569272614</v>
      </c>
      <c r="F9" s="8">
        <f t="shared" si="2"/>
        <v>21.62143922267148</v>
      </c>
      <c r="G9" s="8">
        <f>IF(OR(E9="",F9=""),"",IF(OR(ABS(E9)&lt;0.000000001,ABS(F9)&lt;0.000000001),"",((1/TAN(F9*PI()/180))-(1/TAN(E9*PI()/180)))/(Inputs!$B$7/Inputs!$B$6)*100))</f>
        <v>130.85045075687822</v>
      </c>
      <c r="H9" s="9">
        <f>IF(E9="","",Inputs!$B$6/TAN(E9*PI()/180)+Inputs!$B$7/2)</f>
        <v>2471.3345262896592</v>
      </c>
      <c r="I9" s="9">
        <f>IF(F9="","",Inputs!$B$6/TAN(F9*PI()/180)-Inputs!$B$7/2)</f>
        <v>2779.8390338584418</v>
      </c>
      <c r="J9" s="9">
        <f t="shared" si="3"/>
        <v>2625.5867800740507</v>
      </c>
      <c r="K9" s="9">
        <f t="shared" si="4"/>
        <v>308.50450756878263</v>
      </c>
      <c r="L9" s="9">
        <f>IF(OR(B9="",C9="",ABS(SIN(RADIANS(C9-B9)))&lt;0.000000001),"",Inputs!$B$7*SIN(RADIANS(B9))*SIN(RADIANS(C9))/SIN(RADIANS(C9-B9)))</f>
        <v>-993.50058978047889</v>
      </c>
      <c r="M9" s="9">
        <f>IF(L9="","",-Inputs!$B$7/2*(COS(RADIANS(B9))*SIN(RADIANS(C9))+COS(RADIANS(C9))*SIN(RADIANS(B9)))/SIN(RADIANS(C9-B9)))</f>
        <v>-2006.5553957872291</v>
      </c>
      <c r="N9" s="9">
        <f>IF(L9="","",L9+Inputs!$B$6)</f>
        <v>306.49941021952111</v>
      </c>
      <c r="O9" s="9">
        <f>IF(J9="","",SQRT(Inputs!$B$6^2+(ABS(J9)+Inputs!$B$7/2)^2))</f>
        <v>3385.1577097343152</v>
      </c>
      <c r="P9" s="10" t="str">
        <f>IF(A9="","",IF(AND(Math!P7,Math!AF7),"OK","No solution"))</f>
        <v>OK</v>
      </c>
    </row>
    <row r="10" spans="1:16">
      <c r="A10" s="7">
        <f>Math!A8</f>
        <v>-54</v>
      </c>
      <c r="B10" s="8">
        <f>IF(OR(Math!P8=FALSE,Math!A8=""),"",Math!Q8)</f>
        <v>-21.266885496637048</v>
      </c>
      <c r="C10" s="8">
        <f>IF(OR(Math!AF8=FALSE,Math!A8=""),"",Math!AG8)</f>
        <v>-32.528557775995552</v>
      </c>
      <c r="D10" t="str">
        <f t="shared" si="0"/>
        <v>Right</v>
      </c>
      <c r="E10" s="8">
        <f t="shared" si="1"/>
        <v>32.528557775995552</v>
      </c>
      <c r="F10" s="8">
        <f t="shared" si="2"/>
        <v>21.266885496637048</v>
      </c>
      <c r="G10" s="8">
        <f>IF(OR(E10="",F10=""),"",IF(OR(ABS(E10)&lt;0.000000001,ABS(F10)&lt;0.000000001),"",((1/TAN(F10*PI()/180))-(1/TAN(E10*PI()/180)))/(Inputs!$B$7/Inputs!$B$6)*100))</f>
        <v>130.16815851296482</v>
      </c>
      <c r="H10" s="9">
        <f>IF(E10="","",Inputs!$B$6/TAN(E10*PI()/180)+Inputs!$B$7/2)</f>
        <v>2538.3485437480276</v>
      </c>
      <c r="I10" s="9">
        <f>IF(F10="","",Inputs!$B$6/TAN(F10*PI()/180)-Inputs!$B$7/2)</f>
        <v>2840.0301288776759</v>
      </c>
      <c r="J10" s="9">
        <f t="shared" si="3"/>
        <v>2689.189336312852</v>
      </c>
      <c r="K10" s="9">
        <f t="shared" si="4"/>
        <v>301.68158512964828</v>
      </c>
      <c r="L10" s="9">
        <f>IF(OR(B10="",C10="",ABS(SIN(RADIANS(C10-B10)))&lt;0.000000001),"",Inputs!$B$7*SIN(RADIANS(B10))*SIN(RADIANS(C10))/SIN(RADIANS(C10-B10)))</f>
        <v>-998.70814402780343</v>
      </c>
      <c r="M10" s="9">
        <f>IF(L10="","",-Inputs!$B$7/2*(COS(RADIANS(B10))*SIN(RADIANS(C10))+COS(RADIANS(C10))*SIN(RADIANS(B10)))/SIN(RADIANS(C10-B10)))</f>
        <v>-2065.9348392372067</v>
      </c>
      <c r="N10" s="9">
        <f>IF(L10="","",L10+Inputs!$B$6)</f>
        <v>301.29185597219657</v>
      </c>
      <c r="O10" s="9">
        <f>IF(J10="","",SQRT(Inputs!$B$6^2+(ABS(J10)+Inputs!$B$7/2)^2))</f>
        <v>3443.9698928491825</v>
      </c>
      <c r="P10" s="10" t="str">
        <f>IF(A10="","",IF(AND(Math!P8,Math!AF8),"OK","No solution"))</f>
        <v>OK</v>
      </c>
    </row>
    <row r="11" spans="1:16">
      <c r="A11" s="7">
        <f>Math!A9</f>
        <v>-53</v>
      </c>
      <c r="B11" s="8">
        <f>IF(OR(Math!P9=FALSE,Math!A9=""),"",Math!Q9)</f>
        <v>-20.911472813677911</v>
      </c>
      <c r="C11" s="8">
        <f>IF(OR(Math!AF9=FALSE,Math!A9=""),"",Math!AG9)</f>
        <v>-31.671896951601102</v>
      </c>
      <c r="D11" t="str">
        <f t="shared" si="0"/>
        <v>Right</v>
      </c>
      <c r="E11" s="8">
        <f t="shared" si="1"/>
        <v>31.671896951601102</v>
      </c>
      <c r="F11" s="8">
        <f t="shared" si="2"/>
        <v>20.911472813677911</v>
      </c>
      <c r="G11" s="8">
        <f>IF(OR(E11="",F11=""),"",IF(OR(ABS(E11)&lt;0.000000001,ABS(F11)&lt;0.000000001),"",((1/TAN(F11*PI()/180))-(1/TAN(E11*PI()/180)))/(Inputs!$B$7/Inputs!$B$6)*100))</f>
        <v>129.51285985877792</v>
      </c>
      <c r="H11" s="9">
        <f>IF(E11="","",Inputs!$B$6/TAN(E11*PI()/180)+Inputs!$B$7/2)</f>
        <v>2607.190488507129</v>
      </c>
      <c r="I11" s="9">
        <f>IF(F11="","",Inputs!$B$6/TAN(F11*PI()/180)-Inputs!$B$7/2)</f>
        <v>2902.3190870949079</v>
      </c>
      <c r="J11" s="9">
        <f t="shared" si="3"/>
        <v>2754.7547878010182</v>
      </c>
      <c r="K11" s="9">
        <f t="shared" si="4"/>
        <v>295.12859858777892</v>
      </c>
      <c r="L11" s="9">
        <f>IF(OR(B11="",C11="",ABS(SIN(RADIANS(C11-B11)))&lt;0.000000001),"",Inputs!$B$7*SIN(RADIANS(B11))*SIN(RADIANS(C11))/SIN(RADIANS(C11-B11)))</f>
        <v>-1003.7613264177257</v>
      </c>
      <c r="M11" s="9">
        <f>IF(L11="","",-Inputs!$B$7/2*(COS(RADIANS(B11))*SIN(RADIANS(C11))+COS(RADIANS(C11))*SIN(RADIANS(B11)))/SIN(RADIANS(C11-B11)))</f>
        <v>-2127.0125536605619</v>
      </c>
      <c r="N11" s="9">
        <f>IF(L11="","",L11+Inputs!$B$6)</f>
        <v>296.23867358227426</v>
      </c>
      <c r="O11" s="9">
        <f>IF(J11="","",SQRT(Inputs!$B$6^2+(ABS(J11)+Inputs!$B$7/2)^2))</f>
        <v>3504.7722791521919</v>
      </c>
      <c r="P11" s="10" t="str">
        <f>IF(A11="","",IF(AND(Math!P9,Math!AF9),"OK","No solution"))</f>
        <v>OK</v>
      </c>
    </row>
    <row r="12" spans="1:16">
      <c r="A12" s="7">
        <f>Math!A10</f>
        <v>-52</v>
      </c>
      <c r="B12" s="8">
        <f>IF(OR(Math!P10=FALSE,Math!A10=""),"",Math!Q10)</f>
        <v>-20.555175236997517</v>
      </c>
      <c r="C12" s="8">
        <f>IF(OR(Math!AF10=FALSE,Math!A10=""),"",Math!AG10)</f>
        <v>-30.832098332520761</v>
      </c>
      <c r="D12" t="str">
        <f t="shared" si="0"/>
        <v>Right</v>
      </c>
      <c r="E12" s="8">
        <f t="shared" si="1"/>
        <v>30.832098332520761</v>
      </c>
      <c r="F12" s="8">
        <f t="shared" si="2"/>
        <v>20.555175236997517</v>
      </c>
      <c r="G12" s="8">
        <f>IF(OR(E12="",F12=""),"",IF(OR(ABS(E12)&lt;0.000000001,ABS(F12)&lt;0.000000001),"",((1/TAN(F12*PI()/180))-(1/TAN(E12*PI()/180)))/(Inputs!$B$7/Inputs!$B$6)*100))</f>
        <v>128.88316180411121</v>
      </c>
      <c r="H12" s="9">
        <f>IF(E12="","",Inputs!$B$6/TAN(E12*PI()/180)+Inputs!$B$7/2)</f>
        <v>2677.9951625917279</v>
      </c>
      <c r="I12" s="9">
        <f>IF(F12="","",Inputs!$B$6/TAN(F12*PI()/180)-Inputs!$B$7/2)</f>
        <v>2966.8267806328399</v>
      </c>
      <c r="J12" s="9">
        <f t="shared" si="3"/>
        <v>2822.4109716122839</v>
      </c>
      <c r="K12" s="9">
        <f t="shared" si="4"/>
        <v>288.83161804111205</v>
      </c>
      <c r="L12" s="9">
        <f>IF(OR(B12="",C12="",ABS(SIN(RADIANS(C12-B12)))&lt;0.000000001),"",Inputs!$B$7*SIN(RADIANS(B12))*SIN(RADIANS(C12))/SIN(RADIANS(C12-B12)))</f>
        <v>-1008.6655089792589</v>
      </c>
      <c r="M12" s="9">
        <f>IF(L12="","",-Inputs!$B$7/2*(COS(RADIANS(B12))*SIN(RADIANS(C12))+COS(RADIANS(C12))*SIN(RADIANS(B12)))/SIN(RADIANS(C12-B12)))</f>
        <v>-2189.8989224845759</v>
      </c>
      <c r="N12" s="9">
        <f>IF(L12="","",L12+Inputs!$B$6)</f>
        <v>291.3344910207411</v>
      </c>
      <c r="O12" s="9">
        <f>IF(J12="","",SQRT(Inputs!$B$6^2+(ABS(J12)+Inputs!$B$7/2)^2))</f>
        <v>3567.6903823467756</v>
      </c>
      <c r="P12" s="10" t="str">
        <f>IF(A12="","",IF(AND(Math!P10,Math!AF10),"OK","No solution"))</f>
        <v>OK</v>
      </c>
    </row>
    <row r="13" spans="1:16">
      <c r="A13" s="7">
        <f>Math!A11</f>
        <v>-51</v>
      </c>
      <c r="B13" s="8">
        <f>IF(OR(Math!P11=FALSE,Math!A11=""),"",Math!Q11)</f>
        <v>-20.197966511150977</v>
      </c>
      <c r="C13" s="8">
        <f>IF(OR(Math!AF11=FALSE,Math!A11=""),"",Math!AG11)</f>
        <v>-30.00838041652279</v>
      </c>
      <c r="D13" t="str">
        <f t="shared" si="0"/>
        <v>Right</v>
      </c>
      <c r="E13" s="8">
        <f t="shared" si="1"/>
        <v>30.00838041652279</v>
      </c>
      <c r="F13" s="8">
        <f t="shared" si="2"/>
        <v>20.197966511150977</v>
      </c>
      <c r="G13" s="8">
        <f>IF(OR(E13="",F13=""),"",IF(OR(ABS(E13)&lt;0.000000001,ABS(F13)&lt;0.000000001),"",((1/TAN(F13*PI()/180))-(1/TAN(E13*PI()/180)))/(Inputs!$B$7/Inputs!$B$6)*100))</f>
        <v>128.27778779220932</v>
      </c>
      <c r="H13" s="9">
        <f>IF(E13="","",Inputs!$B$6/TAN(E13*PI()/180)+Inputs!$B$7/2)</f>
        <v>2750.905659993949</v>
      </c>
      <c r="I13" s="9">
        <f>IF(F13="","",Inputs!$B$6/TAN(F13*PI()/180)-Inputs!$B$7/2)</f>
        <v>3033.6835379160425</v>
      </c>
      <c r="J13" s="9">
        <f t="shared" si="3"/>
        <v>2892.2945989549958</v>
      </c>
      <c r="K13" s="9">
        <f t="shared" si="4"/>
        <v>282.77787792209347</v>
      </c>
      <c r="L13" s="9">
        <f>IF(OR(B13="",C13="",ABS(SIN(RADIANS(C13-B13)))&lt;0.000000001),"",Inputs!$B$7*SIN(RADIANS(B13))*SIN(RADIANS(C13))/SIN(RADIANS(C13-B13)))</f>
        <v>-1013.4256463058155</v>
      </c>
      <c r="M13" s="9">
        <f>IF(L13="","",-Inputs!$B$7/2*(COS(RADIANS(B13))*SIN(RADIANS(C13))+COS(RADIANS(C13))*SIN(RADIANS(B13)))/SIN(RADIANS(C13-B13)))</f>
        <v>-2254.7119409636812</v>
      </c>
      <c r="N13" s="9">
        <f>IF(L13="","",L13+Inputs!$B$6)</f>
        <v>286.57435369418454</v>
      </c>
      <c r="O13" s="9">
        <f>IF(J13="","",SQRT(Inputs!$B$6^2+(ABS(J13)+Inputs!$B$7/2)^2))</f>
        <v>3632.8587429322429</v>
      </c>
      <c r="P13" s="10" t="str">
        <f>IF(A13="","",IF(AND(Math!P11,Math!AF11),"OK","No solution"))</f>
        <v>OK</v>
      </c>
    </row>
    <row r="14" spans="1:16">
      <c r="A14" s="7">
        <f>Math!A12</f>
        <v>-50</v>
      </c>
      <c r="B14" s="8">
        <f>IF(OR(Math!P12=FALSE,Math!A12=""),"",Math!Q12)</f>
        <v>-19.839820049593371</v>
      </c>
      <c r="C14" s="8">
        <f>IF(OR(Math!AF12=FALSE,Math!A12=""),"",Math!AG12)</f>
        <v>-29.200017592334312</v>
      </c>
      <c r="D14" t="str">
        <f t="shared" si="0"/>
        <v>Right</v>
      </c>
      <c r="E14" s="8">
        <f t="shared" si="1"/>
        <v>29.200017592334312</v>
      </c>
      <c r="F14" s="8">
        <f t="shared" si="2"/>
        <v>19.839820049593371</v>
      </c>
      <c r="G14" s="8">
        <f>IF(OR(E14="",F14=""),"",IF(OR(ABS(E14)&lt;0.000000001,ABS(F14)&lt;0.000000001),"",((1/TAN(F14*PI()/180))-(1/TAN(E14*PI()/180)))/(Inputs!$B$7/Inputs!$B$6)*100))</f>
        <v>127.69556515239768</v>
      </c>
      <c r="H14" s="9">
        <f>IF(E14="","",Inputs!$B$6/TAN(E14*PI()/180)+Inputs!$B$7/2)</f>
        <v>2826.074437623678</v>
      </c>
      <c r="I14" s="9">
        <f>IF(F14="","",Inputs!$B$6/TAN(F14*PI()/180)-Inputs!$B$7/2)</f>
        <v>3103.0300891476545</v>
      </c>
      <c r="J14" s="9">
        <f t="shared" si="3"/>
        <v>2964.5522633856663</v>
      </c>
      <c r="K14" s="9">
        <f t="shared" si="4"/>
        <v>276.95565152397648</v>
      </c>
      <c r="L14" s="9">
        <f>IF(OR(B14="",C14="",ABS(SIN(RADIANS(C14-B14)))&lt;0.000000001),"",Inputs!$B$7*SIN(RADIANS(B14))*SIN(RADIANS(C14))/SIN(RADIANS(C14-B14)))</f>
        <v>-1018.0463185612765</v>
      </c>
      <c r="M14" s="9">
        <f>IF(L14="","",-Inputs!$B$7/2*(COS(RADIANS(B14))*SIN(RADIANS(C14))+COS(RADIANS(C14))*SIN(RADIANS(B14)))/SIN(RADIANS(C14-B14)))</f>
        <v>-2321.5780907094436</v>
      </c>
      <c r="N14" s="9">
        <f>IF(L14="","",L14+Inputs!$B$6)</f>
        <v>281.95368143872349</v>
      </c>
      <c r="O14" s="9">
        <f>IF(J14="","",SQRT(Inputs!$B$6^2+(ABS(J14)+Inputs!$B$7/2)^2))</f>
        <v>3700.4219199613904</v>
      </c>
      <c r="P14" s="10" t="str">
        <f>IF(A14="","",IF(AND(Math!P12,Math!AF12),"OK","No solution"))</f>
        <v>OK</v>
      </c>
    </row>
    <row r="15" spans="1:16">
      <c r="A15" s="7">
        <f>Math!A13</f>
        <v>-49</v>
      </c>
      <c r="B15" s="8">
        <f>IF(OR(Math!P13=FALSE,Math!A13=""),"",Math!Q13)</f>
        <v>-19.48070892192699</v>
      </c>
      <c r="C15" s="8">
        <f>IF(OR(Math!AF13=FALSE,Math!A13=""),"",Math!AG13)</f>
        <v>-28.406334594182532</v>
      </c>
      <c r="D15" t="str">
        <f t="shared" si="0"/>
        <v>Right</v>
      </c>
      <c r="E15" s="8">
        <f t="shared" si="1"/>
        <v>28.406334594182532</v>
      </c>
      <c r="F15" s="8">
        <f t="shared" si="2"/>
        <v>19.48070892192699</v>
      </c>
      <c r="G15" s="8">
        <f>IF(OR(E15="",F15=""),"",IF(OR(ABS(E15)&lt;0.000000001,ABS(F15)&lt;0.000000001),"",((1/TAN(F15*PI()/180))-(1/TAN(E15*PI()/180)))/(Inputs!$B$7/Inputs!$B$6)*100))</f>
        <v>127.13541423280938</v>
      </c>
      <c r="H15" s="9">
        <f>IF(E15="","",Inputs!$B$6/TAN(E15*PI()/180)+Inputs!$B$7/2)</f>
        <v>2903.6644852131044</v>
      </c>
      <c r="I15" s="9">
        <f>IF(F15="","",Inputs!$B$6/TAN(F15*PI()/180)-Inputs!$B$7/2)</f>
        <v>3175.0186275411984</v>
      </c>
      <c r="J15" s="9">
        <f t="shared" si="3"/>
        <v>3039.3415563771514</v>
      </c>
      <c r="K15" s="9">
        <f t="shared" si="4"/>
        <v>271.35414232809399</v>
      </c>
      <c r="L15" s="9">
        <f>IF(OR(B15="",C15="",ABS(SIN(RADIANS(C15-B15)))&lt;0.000000001),"",Inputs!$B$7*SIN(RADIANS(B15))*SIN(RADIANS(C15))/SIN(RADIANS(C15-B15)))</f>
        <v>-1022.5317688582422</v>
      </c>
      <c r="M15" s="9">
        <f>IF(L15="","",-Inputs!$B$7/2*(COS(RADIANS(B15))*SIN(RADIANS(C15))+COS(RADIANS(C15))*SIN(RADIANS(B15)))/SIN(RADIANS(C15-B15)))</f>
        <v>-2390.633306005147</v>
      </c>
      <c r="N15" s="9">
        <f>IF(L15="","",L15+Inputs!$B$6)</f>
        <v>277.46823114175777</v>
      </c>
      <c r="O15" s="9">
        <f>IF(J15="","",SQRT(Inputs!$B$6^2+(ABS(J15)+Inputs!$B$7/2)^2))</f>
        <v>3770.5355922863578</v>
      </c>
      <c r="P15" s="10" t="str">
        <f>IF(A15="","",IF(AND(Math!P13,Math!AF13),"OK","No solution"))</f>
        <v>OK</v>
      </c>
    </row>
    <row r="16" spans="1:16">
      <c r="A16" s="7">
        <f>Math!A14</f>
        <v>-48</v>
      </c>
      <c r="B16" s="8">
        <f>IF(OR(Math!P14=FALSE,Math!A14=""),"",Math!Q14)</f>
        <v>-19.120605840832141</v>
      </c>
      <c r="C16" s="8">
        <f>IF(OR(Math!AF14=FALSE,Math!A14=""),"",Math!AG14)</f>
        <v>-27.626701653465311</v>
      </c>
      <c r="D16" t="str">
        <f t="shared" si="0"/>
        <v>Right</v>
      </c>
      <c r="E16" s="8">
        <f t="shared" si="1"/>
        <v>27.626701653465311</v>
      </c>
      <c r="F16" s="8">
        <f t="shared" si="2"/>
        <v>19.120605840832141</v>
      </c>
      <c r="G16" s="8">
        <f>IF(OR(E16="",F16=""),"",IF(OR(ABS(E16)&lt;0.000000001,ABS(F16)&lt;0.000000001),"",((1/TAN(F16*PI()/180))-(1/TAN(E16*PI()/180)))/(Inputs!$B$7/Inputs!$B$6)*100))</f>
        <v>126.59633894795552</v>
      </c>
      <c r="H16" s="9">
        <f>IF(E16="","",Inputs!$B$6/TAN(E16*PI()/180)+Inputs!$B$7/2)</f>
        <v>2983.8506137085674</v>
      </c>
      <c r="I16" s="9">
        <f>IF(F16="","",Inputs!$B$6/TAN(F16*PI()/180)-Inputs!$B$7/2)</f>
        <v>3249.8140031881226</v>
      </c>
      <c r="J16" s="9">
        <f t="shared" si="3"/>
        <v>3116.832308448345</v>
      </c>
      <c r="K16" s="9">
        <f t="shared" si="4"/>
        <v>265.96338947955519</v>
      </c>
      <c r="L16" s="9">
        <f>IF(OR(B16="",C16="",ABS(SIN(RADIANS(C16-B16)))&lt;0.000000001),"",Inputs!$B$7*SIN(RADIANS(B16))*SIN(RADIANS(C16))/SIN(RADIANS(C16-B16)))</f>
        <v>-1026.8859358835309</v>
      </c>
      <c r="M16" s="9">
        <f>IF(L16="","",-Inputs!$B$7/2*(COS(RADIANS(B16))*SIN(RADIANS(C16))+COS(RADIANS(C16))*SIN(RADIANS(B16)))/SIN(RADIANS(C16-B16)))</f>
        <v>-2462.0240477330804</v>
      </c>
      <c r="N16" s="9">
        <f>IF(L16="","",L16+Inputs!$B$6)</f>
        <v>273.11406411646908</v>
      </c>
      <c r="O16" s="9">
        <f>IF(J16="","",SQRT(Inputs!$B$6^2+(ABS(J16)+Inputs!$B$7/2)^2))</f>
        <v>3843.3677871673672</v>
      </c>
      <c r="P16" s="10" t="str">
        <f>IF(A16="","",IF(AND(Math!P14,Math!AF14),"OK","No solution"))</f>
        <v>OK</v>
      </c>
    </row>
    <row r="17" spans="1:16">
      <c r="A17" s="7">
        <f>Math!A15</f>
        <v>-47</v>
      </c>
      <c r="B17" s="8">
        <f>IF(OR(Math!P15=FALSE,Math!A15=""),"",Math!Q15)</f>
        <v>-18.759483148664756</v>
      </c>
      <c r="C17" s="8">
        <f>IF(OR(Math!AF15=FALSE,Math!A15=""),"",Math!AG15)</f>
        <v>-26.860530242589384</v>
      </c>
      <c r="D17" t="str">
        <f t="shared" si="0"/>
        <v>Right</v>
      </c>
      <c r="E17" s="8">
        <f t="shared" si="1"/>
        <v>26.860530242589384</v>
      </c>
      <c r="F17" s="8">
        <f t="shared" si="2"/>
        <v>18.759483148664756</v>
      </c>
      <c r="G17" s="8">
        <f>IF(OR(E17="",F17=""),"",IF(OR(ABS(E17)&lt;0.000000001,ABS(F17)&lt;0.000000001),"",((1/TAN(F17*PI()/180))-(1/TAN(E17*PI()/180)))/(Inputs!$B$7/Inputs!$B$6)*100))</f>
        <v>126.07741852388175</v>
      </c>
      <c r="H17" s="9">
        <f>IF(E17="","",Inputs!$B$6/TAN(E17*PI()/180)+Inputs!$B$7/2)</f>
        <v>3066.8208840762272</v>
      </c>
      <c r="I17" s="9">
        <f>IF(F17="","",Inputs!$B$6/TAN(F17*PI()/180)-Inputs!$B$7/2)</f>
        <v>3327.5950693150448</v>
      </c>
      <c r="J17" s="9">
        <f t="shared" si="3"/>
        <v>3197.2079766956358</v>
      </c>
      <c r="K17" s="9">
        <f t="shared" si="4"/>
        <v>260.77418523881761</v>
      </c>
      <c r="L17" s="9">
        <f>IF(OR(B17="",C17="",ABS(SIN(RADIANS(C17-B17)))&lt;0.000000001),"",Inputs!$B$7*SIN(RADIANS(B17))*SIN(RADIANS(C17))/SIN(RADIANS(C17-B17)))</f>
        <v>-1031.1124824892829</v>
      </c>
      <c r="M17" s="9">
        <f>IF(L17="","",-Inputs!$B$7/2*(COS(RADIANS(B17))*SIN(RADIANS(C17))+COS(RADIANS(C17))*SIN(RADIANS(B17)))/SIN(RADIANS(C17-B17)))</f>
        <v>-2535.908502988596</v>
      </c>
      <c r="N17" s="9">
        <f>IF(L17="","",L17+Inputs!$B$6)</f>
        <v>268.88751751071709</v>
      </c>
      <c r="O17" s="9">
        <f>IF(J17="","",SQRT(Inputs!$B$6^2+(ABS(J17)+Inputs!$B$7/2)^2))</f>
        <v>3919.1002568117387</v>
      </c>
      <c r="P17" s="10" t="str">
        <f>IF(A17="","",IF(AND(Math!P15,Math!AF15),"OK","No solution"))</f>
        <v>OK</v>
      </c>
    </row>
    <row r="18" spans="1:16">
      <c r="A18" s="7">
        <f>Math!A16</f>
        <v>-46</v>
      </c>
      <c r="B18" s="8">
        <f>IF(OR(Math!P16=FALSE,Math!A16=""),"",Math!Q16)</f>
        <v>-18.397312803704775</v>
      </c>
      <c r="C18" s="8">
        <f>IF(OR(Math!AF16=FALSE,Math!A16=""),"",Math!AG16)</f>
        <v>-26.107269324257402</v>
      </c>
      <c r="D18" t="str">
        <f t="shared" si="0"/>
        <v>Right</v>
      </c>
      <c r="E18" s="8">
        <f t="shared" si="1"/>
        <v>26.107269324257402</v>
      </c>
      <c r="F18" s="8">
        <f t="shared" si="2"/>
        <v>18.397312803704775</v>
      </c>
      <c r="G18" s="8">
        <f>IF(OR(E18="",F18=""),"",IF(OR(ABS(E18)&lt;0.000000001,ABS(F18)&lt;0.000000001),"",((1/TAN(F18*PI()/180))-(1/TAN(E18*PI()/180)))/(Inputs!$B$7/Inputs!$B$6)*100))</f>
        <v>125.57780026191443</v>
      </c>
      <c r="H18" s="9">
        <f>IF(E18="","",Inputs!$B$6/TAN(E18*PI()/180)+Inputs!$B$7/2)</f>
        <v>3152.7782015007278</v>
      </c>
      <c r="I18" s="9">
        <f>IF(F18="","",Inputs!$B$6/TAN(F18*PI()/180)-Inputs!$B$7/2)</f>
        <v>3408.5562041198718</v>
      </c>
      <c r="J18" s="9">
        <f t="shared" si="3"/>
        <v>3280.6672028102998</v>
      </c>
      <c r="K18" s="9">
        <f t="shared" si="4"/>
        <v>255.77800261914399</v>
      </c>
      <c r="L18" s="9">
        <f>IF(OR(B18="",C18="",ABS(SIN(RADIANS(C18-B18)))&lt;0.000000001),"",Inputs!$B$7*SIN(RADIANS(B18))*SIN(RADIANS(C18))/SIN(RADIANS(C18-B18)))</f>
        <v>-1035.2148208430335</v>
      </c>
      <c r="M18" s="9">
        <f>IF(L18="","",-Inputs!$B$7/2*(COS(RADIANS(B18))*SIN(RADIANS(C18))+COS(RADIANS(C18))*SIN(RADIANS(B18)))/SIN(RADIANS(C18-B18)))</f>
        <v>-2612.4579312329847</v>
      </c>
      <c r="N18" s="9">
        <f>IF(L18="","",L18+Inputs!$B$6)</f>
        <v>264.78517915696648</v>
      </c>
      <c r="O18" s="9">
        <f>IF(J18="","",SQRT(Inputs!$B$6^2+(ABS(J18)+Inputs!$B$7/2)^2))</f>
        <v>3997.9300267020003</v>
      </c>
      <c r="P18" s="10" t="str">
        <f>IF(A18="","",IF(AND(Math!P16,Math!AF16),"OK","No solution"))</f>
        <v>OK</v>
      </c>
    </row>
    <row r="19" spans="1:16">
      <c r="A19" s="7">
        <f>Math!A17</f>
        <v>-45</v>
      </c>
      <c r="B19" s="8">
        <f>IF(OR(Math!P17=FALSE,Math!A17=""),"",Math!Q17)</f>
        <v>-18.034066366036509</v>
      </c>
      <c r="C19" s="8">
        <f>IF(OR(Math!AF17=FALSE,Math!A17=""),"",Math!AG17)</f>
        <v>-25.366402034157577</v>
      </c>
      <c r="D19" t="str">
        <f t="shared" si="0"/>
        <v>Right</v>
      </c>
      <c r="E19" s="8">
        <f t="shared" si="1"/>
        <v>25.366402034157577</v>
      </c>
      <c r="F19" s="8">
        <f t="shared" si="2"/>
        <v>18.034066366036509</v>
      </c>
      <c r="G19" s="8">
        <f>IF(OR(E19="",F19=""),"",IF(OR(ABS(E19)&lt;0.000000001,ABS(F19)&lt;0.000000001),"",((1/TAN(F19*PI()/180))-(1/TAN(E19*PI()/180)))/(Inputs!$B$7/Inputs!$B$6)*100))</f>
        <v>125.09669317274195</v>
      </c>
      <c r="H19" s="9">
        <f>IF(E19="","",Inputs!$B$6/TAN(E19*PI()/180)+Inputs!$B$7/2)</f>
        <v>3241.9421037714551</v>
      </c>
      <c r="I19" s="9">
        <f>IF(F19="","",Inputs!$B$6/TAN(F19*PI()/180)-Inputs!$B$7/2)</f>
        <v>3492.9090354988753</v>
      </c>
      <c r="J19" s="9">
        <f t="shared" si="3"/>
        <v>3367.4255696351652</v>
      </c>
      <c r="K19" s="9">
        <f t="shared" si="4"/>
        <v>250.96693172742016</v>
      </c>
      <c r="L19" s="9">
        <f>IF(OR(B19="",C19="",ABS(SIN(RADIANS(C19-B19)))&lt;0.000000001),"",Inputs!$B$7*SIN(RADIANS(B19))*SIN(RADIANS(C19))/SIN(RADIANS(C19-B19)))</f>
        <v>-1039.1961346291316</v>
      </c>
      <c r="M19" s="9">
        <f>IF(L19="","",-Inputs!$B$7/2*(COS(RADIANS(B19))*SIN(RADIANS(C19))+COS(RADIANS(C19))*SIN(RADIANS(B19)))/SIN(RADIANS(C19-B19)))</f>
        <v>-2691.8581812432044</v>
      </c>
      <c r="N19" s="9">
        <f>IF(L19="","",L19+Inputs!$B$6)</f>
        <v>260.80386537086838</v>
      </c>
      <c r="O19" s="9">
        <f>IF(J19="","",SQRT(Inputs!$B$6^2+(ABS(J19)+Inputs!$B$7/2)^2))</f>
        <v>4080.0711435792246</v>
      </c>
      <c r="P19" s="10" t="str">
        <f>IF(A19="","",IF(AND(Math!P17,Math!AF17),"OK","No solution"))</f>
        <v>OK</v>
      </c>
    </row>
    <row r="20" spans="1:16">
      <c r="A20" s="7">
        <f>Math!A18</f>
        <v>-44</v>
      </c>
      <c r="B20" s="8">
        <f>IF(OR(Math!P18=FALSE,Math!A18=""),"",Math!Q18)</f>
        <v>-17.669714983043892</v>
      </c>
      <c r="C20" s="8">
        <f>IF(OR(Math!AF18=FALSE,Math!A18=""),"",Math!AG18)</f>
        <v>-24.637442736885497</v>
      </c>
      <c r="D20" t="str">
        <f t="shared" si="0"/>
        <v>Right</v>
      </c>
      <c r="E20" s="8">
        <f t="shared" si="1"/>
        <v>24.637442736885497</v>
      </c>
      <c r="F20" s="8">
        <f t="shared" si="2"/>
        <v>17.669714983043892</v>
      </c>
      <c r="G20" s="8">
        <f>IF(OR(E20="",F20=""),"",IF(OR(ABS(E20)&lt;0.000000001,ABS(F20)&lt;0.000000001),"",((1/TAN(F20*PI()/180))-(1/TAN(E20*PI()/180)))/(Inputs!$B$7/Inputs!$B$6)*100))</f>
        <v>124.63336235732767</v>
      </c>
      <c r="H20" s="9">
        <f>IF(E20="","",Inputs!$B$6/TAN(E20*PI()/180)+Inputs!$B$7/2)</f>
        <v>3334.5507773687777</v>
      </c>
      <c r="I20" s="9">
        <f>IF(F20="","",Inputs!$B$6/TAN(F20*PI()/180)-Inputs!$B$7/2)</f>
        <v>3580.8844009420541</v>
      </c>
      <c r="J20" s="9">
        <f t="shared" si="3"/>
        <v>3457.7175891554161</v>
      </c>
      <c r="K20" s="9">
        <f t="shared" si="4"/>
        <v>246.33362357327633</v>
      </c>
      <c r="L20" s="9">
        <f>IF(OR(B20="",C20="",ABS(SIN(RADIANS(C20-B20)))&lt;0.000000001),"",Inputs!$B$7*SIN(RADIANS(B20))*SIN(RADIANS(C20))/SIN(RADIANS(C20-B20)))</f>
        <v>-1043.0593987128909</v>
      </c>
      <c r="M20" s="9">
        <f>IF(L20="","",-Inputs!$B$7/2*(COS(RADIANS(B20))*SIN(RADIANS(C20))+COS(RADIANS(C20))*SIN(RADIANS(B20)))/SIN(RADIANS(C20-B20)))</f>
        <v>-2774.3114072795652</v>
      </c>
      <c r="N20" s="9">
        <f>IF(L20="","",L20+Inputs!$B$6)</f>
        <v>256.94060128710908</v>
      </c>
      <c r="O20" s="9">
        <f>IF(J20="","",SQRT(Inputs!$B$6^2+(ABS(J20)+Inputs!$B$7/2)^2))</f>
        <v>4165.7566558201834</v>
      </c>
      <c r="P20" s="10" t="str">
        <f>IF(A20="","",IF(AND(Math!P18,Math!AF18),"OK","No solution"))</f>
        <v>OK</v>
      </c>
    </row>
    <row r="21" spans="1:16">
      <c r="A21" s="7">
        <f>Math!A19</f>
        <v>-43</v>
      </c>
      <c r="B21" s="8">
        <f>IF(OR(Math!P19=FALSE,Math!A19=""),"",Math!Q19)</f>
        <v>-17.304229374500604</v>
      </c>
      <c r="C21" s="8">
        <f>IF(OR(Math!AF19=FALSE,Math!A19=""),"",Math!AG19)</f>
        <v>-23.919934404596802</v>
      </c>
      <c r="D21" t="str">
        <f t="shared" si="0"/>
        <v>Right</v>
      </c>
      <c r="E21" s="8">
        <f t="shared" si="1"/>
        <v>23.919934404596802</v>
      </c>
      <c r="F21" s="8">
        <f t="shared" si="2"/>
        <v>17.304229374500604</v>
      </c>
      <c r="G21" s="8">
        <f>IF(OR(E21="",F21=""),"",IF(OR(ABS(E21)&lt;0.000000001,ABS(F21)&lt;0.000000001),"",((1/TAN(F21*PI()/180))-(1/TAN(E21*PI()/180)))/(Inputs!$B$7/Inputs!$B$6)*100))</f>
        <v>124.18712403134077</v>
      </c>
      <c r="H21" s="9">
        <f>IF(E21="","",Inputs!$B$6/TAN(E21*PI()/180)+Inputs!$B$7/2)</f>
        <v>3430.863340566269</v>
      </c>
      <c r="I21" s="9">
        <f>IF(F21="","",Inputs!$B$6/TAN(F21*PI()/180)-Inputs!$B$7/2)</f>
        <v>3672.7345808796772</v>
      </c>
      <c r="J21" s="9">
        <f t="shared" si="3"/>
        <v>3551.7989607229729</v>
      </c>
      <c r="K21" s="9">
        <f t="shared" si="4"/>
        <v>241.87124031340818</v>
      </c>
      <c r="L21" s="9">
        <f>IF(OR(B21="",C21="",ABS(SIN(RADIANS(C21-B21)))&lt;0.000000001),"",Inputs!$B$7*SIN(RADIANS(B21))*SIN(RADIANS(C21))/SIN(RADIANS(C21-B21)))</f>
        <v>-1046.807396612166</v>
      </c>
      <c r="M21" s="9">
        <f>IF(L21="","",-Inputs!$B$7/2*(COS(RADIANS(B21))*SIN(RADIANS(C21))+COS(RADIANS(C21))*SIN(RADIANS(B21)))/SIN(RADIANS(C21-B21)))</f>
        <v>-2860.0380179724712</v>
      </c>
      <c r="N21" s="9">
        <f>IF(L21="","",L21+Inputs!$B$6)</f>
        <v>253.19260338783397</v>
      </c>
      <c r="O21" s="9">
        <f>IF(J21="","",SQRT(Inputs!$B$6^2+(ABS(J21)+Inputs!$B$7/2)^2))</f>
        <v>4255.2408648766013</v>
      </c>
      <c r="P21" s="10" t="str">
        <f>IF(A21="","",IF(AND(Math!P19,Math!AF19),"OK","No solution"))</f>
        <v>OK</v>
      </c>
    </row>
    <row r="22" spans="1:16">
      <c r="A22" s="7">
        <f>Math!A20</f>
        <v>-42</v>
      </c>
      <c r="B22" s="8">
        <f>IF(OR(Math!P20=FALSE,Math!A20=""),"",Math!Q20)</f>
        <v>-16.937579817235839</v>
      </c>
      <c r="C22" s="8">
        <f>IF(OR(Math!AF20=FALSE,Math!A20=""),"",Math!AG20)</f>
        <v>-23.213446275804667</v>
      </c>
      <c r="D22" t="str">
        <f t="shared" si="0"/>
        <v>Right</v>
      </c>
      <c r="E22" s="8">
        <f t="shared" si="1"/>
        <v>23.213446275804667</v>
      </c>
      <c r="F22" s="8">
        <f t="shared" si="2"/>
        <v>16.937579817235839</v>
      </c>
      <c r="G22" s="8">
        <f>IF(OR(E22="",F22=""),"",IF(OR(ABS(E22)&lt;0.000000001,ABS(F22)&lt;0.000000001),"",((1/TAN(F22*PI()/180))-(1/TAN(E22*PI()/180)))/(Inputs!$B$7/Inputs!$B$6)*100))</f>
        <v>123.75734110620651</v>
      </c>
      <c r="H22" s="9">
        <f>IF(E22="","",Inputs!$B$6/TAN(E22*PI()/180)+Inputs!$B$7/2)</f>
        <v>3531.1624399923426</v>
      </c>
      <c r="I22" s="9">
        <f>IF(F22="","",Inputs!$B$6/TAN(F22*PI()/180)-Inputs!$B$7/2)</f>
        <v>3768.7358510544072</v>
      </c>
      <c r="J22" s="9">
        <f t="shared" si="3"/>
        <v>3649.9491455233747</v>
      </c>
      <c r="K22" s="9">
        <f t="shared" si="4"/>
        <v>237.57341106206468</v>
      </c>
      <c r="L22" s="9">
        <f>IF(OR(B22="",C22="",ABS(SIN(RADIANS(C22-B22)))&lt;0.000000001),"",Inputs!$B$7*SIN(RADIANS(B22))*SIN(RADIANS(C22))/SIN(RADIANS(C22-B22)))</f>
        <v>-1050.4427360671577</v>
      </c>
      <c r="M22" s="9">
        <f>IF(L22="","",-Inputs!$B$7/2*(COS(RADIANS(B22))*SIN(RADIANS(C22))+COS(RADIANS(C22))*SIN(RADIANS(B22)))/SIN(RADIANS(C22-B22)))</f>
        <v>-2949.2788976381225</v>
      </c>
      <c r="N22" s="9">
        <f>IF(L22="","",L22+Inputs!$B$6)</f>
        <v>249.55726393284226</v>
      </c>
      <c r="O22" s="9">
        <f>IF(J22="","",SQRT(Inputs!$B$6^2+(ABS(J22)+Inputs!$B$7/2)^2))</f>
        <v>4348.8018936748758</v>
      </c>
      <c r="P22" s="10" t="str">
        <f>IF(A22="","",IF(AND(Math!P20,Math!AF20),"OK","No solution"))</f>
        <v>OK</v>
      </c>
    </row>
    <row r="23" spans="1:16">
      <c r="A23" s="7">
        <f>Math!A21</f>
        <v>-41</v>
      </c>
      <c r="B23" s="8">
        <f>IF(OR(Math!P21=FALSE,Math!A21=""),"",Math!Q21)</f>
        <v>-16.569736129354112</v>
      </c>
      <c r="C23" s="8">
        <f>IF(OR(Math!AF21=FALSE,Math!A21=""),"",Math!AG21)</f>
        <v>-22.517571758251627</v>
      </c>
      <c r="D23" t="str">
        <f t="shared" si="0"/>
        <v>Right</v>
      </c>
      <c r="E23" s="8">
        <f t="shared" si="1"/>
        <v>22.517571758251627</v>
      </c>
      <c r="F23" s="8">
        <f t="shared" si="2"/>
        <v>16.569736129354112</v>
      </c>
      <c r="G23" s="8">
        <f>IF(OR(E23="",F23=""),"",IF(OR(ABS(E23)&lt;0.000000001,ABS(F23)&lt;0.000000001),"",((1/TAN(F23*PI()/180))-(1/TAN(E23*PI()/180)))/(Inputs!$B$7/Inputs!$B$6)*100))</f>
        <v>123.3434192534278</v>
      </c>
      <c r="H23" s="9">
        <f>IF(E23="","",Inputs!$B$6/TAN(E23*PI()/180)+Inputs!$B$7/2)</f>
        <v>3635.7572158520679</v>
      </c>
      <c r="I23" s="9">
        <f>IF(F23="","",Inputs!$B$6/TAN(F23*PI()/180)-Inputs!$B$7/2)</f>
        <v>3869.1914083863458</v>
      </c>
      <c r="J23" s="9">
        <f t="shared" si="3"/>
        <v>3752.4743121192068</v>
      </c>
      <c r="K23" s="9">
        <f t="shared" si="4"/>
        <v>233.43419253427783</v>
      </c>
      <c r="L23" s="9">
        <f>IF(OR(B23="",C23="",ABS(SIN(RADIANS(C23-B23)))&lt;0.000000001),"",Inputs!$B$7*SIN(RADIANS(B23))*SIN(RADIANS(C23))/SIN(RADIANS(C23-B23)))</f>
        <v>-1053.9678629542068</v>
      </c>
      <c r="M23" s="9">
        <f>IF(L23="","",-Inputs!$B$7/2*(COS(RADIANS(B23))*SIN(RADIANS(C23))+COS(RADIANS(C23))*SIN(RADIANS(B23)))/SIN(RADIANS(C23-B23)))</f>
        <v>-3042.2979473344908</v>
      </c>
      <c r="N23" s="9">
        <f>IF(L23="","",L23+Inputs!$B$6)</f>
        <v>246.03213704579321</v>
      </c>
      <c r="O23" s="9">
        <f>IF(J23="","",SQRT(Inputs!$B$6^2+(ABS(J23)+Inputs!$B$7/2)^2))</f>
        <v>4446.7446267166861</v>
      </c>
      <c r="P23" s="10" t="str">
        <f>IF(A23="","",IF(AND(Math!P21,Math!AF21),"OK","No solution"))</f>
        <v>OK</v>
      </c>
    </row>
    <row r="24" spans="1:16">
      <c r="A24" s="7">
        <f>Math!A22</f>
        <v>-40</v>
      </c>
      <c r="B24" s="8">
        <f>IF(OR(Math!P22=FALSE,Math!A22=""),"",Math!Q22)</f>
        <v>-16.200667653988138</v>
      </c>
      <c r="C24" s="8">
        <f>IF(OR(Math!AF22=FALSE,Math!A22=""),"",Math!AG22)</f>
        <v>-21.831926545172564</v>
      </c>
      <c r="D24" t="str">
        <f t="shared" si="0"/>
        <v>Right</v>
      </c>
      <c r="E24" s="8">
        <f t="shared" si="1"/>
        <v>21.831926545172564</v>
      </c>
      <c r="F24" s="8">
        <f t="shared" si="2"/>
        <v>16.200667653988138</v>
      </c>
      <c r="G24" s="8">
        <f>IF(OR(E24="",F24=""),"",IF(OR(ABS(E24)&lt;0.000000001,ABS(F24)&lt;0.000000001),"",((1/TAN(F24*PI()/180))-(1/TAN(E24*PI()/180)))/(Inputs!$B$7/Inputs!$B$6)*100))</f>
        <v>122.94480338992746</v>
      </c>
      <c r="H24" s="9">
        <f>IF(E24="","",Inputs!$B$6/TAN(E24*PI()/180)+Inputs!$B$7/2)</f>
        <v>3744.9867017920328</v>
      </c>
      <c r="I24" s="9">
        <f>IF(F24="","",Inputs!$B$6/TAN(F24*PI()/180)-Inputs!$B$7/2)</f>
        <v>3974.4347356913077</v>
      </c>
      <c r="J24" s="9">
        <f t="shared" si="3"/>
        <v>3859.7107187416705</v>
      </c>
      <c r="K24" s="9">
        <f t="shared" si="4"/>
        <v>229.44803389927483</v>
      </c>
      <c r="L24" s="9">
        <f>IF(OR(B24="",C24="",ABS(SIN(RADIANS(C24-B24)))&lt;0.000000001),"",Inputs!$B$7*SIN(RADIANS(B24))*SIN(RADIANS(C24))/SIN(RADIANS(C24-B24)))</f>
        <v>-1057.3850737529476</v>
      </c>
      <c r="M24" s="9">
        <f>IF(L24="","",-Inputs!$B$7/2*(COS(RADIANS(B24))*SIN(RADIANS(C24))+COS(RADIANS(C24))*SIN(RADIANS(B24)))/SIN(RADIANS(C24-B24)))</f>
        <v>-3139.3850023090017</v>
      </c>
      <c r="N24" s="9">
        <f>IF(L24="","",L24+Inputs!$B$6)</f>
        <v>242.61492624705238</v>
      </c>
      <c r="O24" s="9">
        <f>IF(J24="","",SQRT(Inputs!$B$6^2+(ABS(J24)+Inputs!$B$7/2)^2))</f>
        <v>4549.4040874724478</v>
      </c>
      <c r="P24" s="10" t="str">
        <f>IF(A24="","",IF(AND(Math!P22,Math!AF22),"OK","No solution"))</f>
        <v>OK</v>
      </c>
    </row>
    <row r="25" spans="1:16">
      <c r="A25" s="7">
        <f>Math!A23</f>
        <v>-39</v>
      </c>
      <c r="B25" s="8">
        <f>IF(OR(Math!P23=FALSE,Math!A23=""),"",Math!Q23)</f>
        <v>-15.830343242561698</v>
      </c>
      <c r="C25" s="8">
        <f>IF(OR(Math!AF23=FALSE,Math!A23=""),"",Math!AG23)</f>
        <v>-21.156146918745762</v>
      </c>
      <c r="D25" t="str">
        <f t="shared" si="0"/>
        <v>Right</v>
      </c>
      <c r="E25" s="8">
        <f t="shared" si="1"/>
        <v>21.156146918745762</v>
      </c>
      <c r="F25" s="8">
        <f t="shared" si="2"/>
        <v>15.830343242561698</v>
      </c>
      <c r="G25" s="8">
        <f>IF(OR(E25="",F25=""),"",IF(OR(ABS(E25)&lt;0.000000001,ABS(F25)&lt;0.000000001),"",((1/TAN(F25*PI()/180))-(1/TAN(E25*PI()/180)))/(Inputs!$B$7/Inputs!$B$6)*100))</f>
        <v>122.56097453144561</v>
      </c>
      <c r="H25" s="9">
        <f>IF(E25="","",Inputs!$B$6/TAN(E25*PI()/180)+Inputs!$B$7/2)</f>
        <v>3859.2237387056807</v>
      </c>
      <c r="I25" s="9">
        <f>IF(F25="","",Inputs!$B$6/TAN(F25*PI()/180)-Inputs!$B$7/2)</f>
        <v>4084.8334840201369</v>
      </c>
      <c r="J25" s="9">
        <f t="shared" si="3"/>
        <v>3972.028611362909</v>
      </c>
      <c r="K25" s="9">
        <f t="shared" si="4"/>
        <v>225.60974531445618</v>
      </c>
      <c r="L25" s="9">
        <f>IF(OR(B25="",C25="",ABS(SIN(RADIANS(C25-B25)))&lt;0.000000001),"",Inputs!$B$7*SIN(RADIANS(B25))*SIN(RADIANS(C25))/SIN(RADIANS(C25-B25)))</f>
        <v>-1060.6965267451083</v>
      </c>
      <c r="M25" s="9">
        <f>IF(L25="","",-Inputs!$B$7/2*(COS(RADIANS(B25))*SIN(RADIANS(C25))+COS(RADIANS(C25))*SIN(RADIANS(B25)))/SIN(RADIANS(C25-B25)))</f>
        <v>-3240.8591940037177</v>
      </c>
      <c r="N25" s="9">
        <f>IF(L25="","",L25+Inputs!$B$6)</f>
        <v>239.30347325489174</v>
      </c>
      <c r="O25" s="9">
        <f>IF(J25="","",SQRT(Inputs!$B$6^2+(ABS(J25)+Inputs!$B$7/2)^2))</f>
        <v>4657.1493320322534</v>
      </c>
      <c r="P25" s="10" t="str">
        <f>IF(A25="","",IF(AND(Math!P23,Math!AF23),"OK","No solution"))</f>
        <v>OK</v>
      </c>
    </row>
    <row r="26" spans="1:16">
      <c r="A26" s="7">
        <f>Math!A24</f>
        <v>-38</v>
      </c>
      <c r="B26" s="8">
        <f>IF(OR(Math!P24=FALSE,Math!A24=""),"",Math!Q24)</f>
        <v>-15.458731237538212</v>
      </c>
      <c r="C26" s="8">
        <f>IF(OR(Math!AF24=FALSE,Math!A24=""),"",Math!AG24)</f>
        <v>-20.489888218266518</v>
      </c>
      <c r="D26" t="str">
        <f t="shared" si="0"/>
        <v>Right</v>
      </c>
      <c r="E26" s="8">
        <f t="shared" si="1"/>
        <v>20.489888218266518</v>
      </c>
      <c r="F26" s="8">
        <f t="shared" si="2"/>
        <v>15.458731237538212</v>
      </c>
      <c r="G26" s="8">
        <f>IF(OR(E26="",F26=""),"",IF(OR(ABS(E26)&lt;0.000000001,ABS(F26)&lt;0.000000001),"",((1/TAN(F26*PI()/180))-(1/TAN(E26*PI()/180)))/(Inputs!$B$7/Inputs!$B$6)*100))</f>
        <v>122.19144696872108</v>
      </c>
      <c r="H26" s="9">
        <f>IF(E26="","",Inputs!$B$6/TAN(E26*PI()/180)+Inputs!$B$7/2)</f>
        <v>3978.8794982823815</v>
      </c>
      <c r="I26" s="9">
        <f>IF(F26="","",Inputs!$B$6/TAN(F26*PI()/180)-Inputs!$B$7/2)</f>
        <v>4200.7939679695928</v>
      </c>
      <c r="J26" s="9">
        <f t="shared" si="3"/>
        <v>4089.8367331259869</v>
      </c>
      <c r="K26" s="9">
        <f t="shared" si="4"/>
        <v>221.91446968721129</v>
      </c>
      <c r="L26" s="9">
        <f>IF(OR(B26="",C26="",ABS(SIN(RADIANS(C26-B26)))&lt;0.000000001),"",Inputs!$B$7*SIN(RADIANS(B26))*SIN(RADIANS(C26))/SIN(RADIANS(C26-B26)))</f>
        <v>-1063.9042520977569</v>
      </c>
      <c r="M26" s="9">
        <f>IF(L26="","",-Inputs!$B$7/2*(COS(RADIANS(B26))*SIN(RADIANS(C26))+COS(RADIANS(C26))*SIN(RADIANS(B26)))/SIN(RADIANS(C26-B26)))</f>
        <v>-3347.0728390448744</v>
      </c>
      <c r="N26" s="9">
        <f>IF(L26="","",L26+Inputs!$B$6)</f>
        <v>236.09574790224315</v>
      </c>
      <c r="O26" s="9">
        <f>IF(J26="","",SQRT(Inputs!$B$6^2+(ABS(J26)+Inputs!$B$7/2)^2))</f>
        <v>4770.3879545329046</v>
      </c>
      <c r="P26" s="10" t="str">
        <f>IF(A26="","",IF(AND(Math!P24,Math!AF24),"OK","No solution"))</f>
        <v>OK</v>
      </c>
    </row>
    <row r="27" spans="1:16">
      <c r="A27" s="7">
        <f>Math!A25</f>
        <v>-37</v>
      </c>
      <c r="B27" s="8">
        <f>IF(OR(Math!P25=FALSE,Math!A25=""),"",Math!Q25)</f>
        <v>-15.085799454631243</v>
      </c>
      <c r="C27" s="8">
        <f>IF(OR(Math!AF25=FALSE,Math!A25=""),"",Math!AG25)</f>
        <v>-19.832823453713928</v>
      </c>
      <c r="D27" t="str">
        <f t="shared" si="0"/>
        <v>Right</v>
      </c>
      <c r="E27" s="8">
        <f t="shared" si="1"/>
        <v>19.832823453713928</v>
      </c>
      <c r="F27" s="8">
        <f t="shared" si="2"/>
        <v>15.085799454631243</v>
      </c>
      <c r="G27" s="8">
        <f>IF(OR(E27="",F27=""),"",IF(OR(ABS(E27)&lt;0.000000001,ABS(F27)&lt;0.000000001),"",((1/TAN(F27*PI()/180))-(1/TAN(E27*PI()/180)))/(Inputs!$B$7/Inputs!$B$6)*100))</f>
        <v>121.83576572759173</v>
      </c>
      <c r="H27" s="9">
        <f>IF(E27="","",Inputs!$B$6/TAN(E27*PI()/180)+Inputs!$B$7/2)</f>
        <v>4104.4087326550998</v>
      </c>
      <c r="I27" s="9">
        <f>IF(F27="","",Inputs!$B$6/TAN(F27*PI()/180)-Inputs!$B$7/2)</f>
        <v>4322.7663899310164</v>
      </c>
      <c r="J27" s="9">
        <f t="shared" si="3"/>
        <v>4213.5875612930577</v>
      </c>
      <c r="K27" s="9">
        <f t="shared" si="4"/>
        <v>218.35765727591661</v>
      </c>
      <c r="L27" s="9">
        <f>IF(OR(B27="",C27="",ABS(SIN(RADIANS(C27-B27)))&lt;0.000000001),"",Inputs!$B$7*SIN(RADIANS(B27))*SIN(RADIANS(C27))/SIN(RADIANS(C27-B27)))</f>
        <v>-1067.0101609626065</v>
      </c>
      <c r="M27" s="9">
        <f>IF(L27="","",-Inputs!$B$7/2*(COS(RADIANS(B27))*SIN(RADIANS(C27))+COS(RADIANS(C27))*SIN(RADIANS(B27)))/SIN(RADIANS(C27-B27)))</f>
        <v>-3458.4159553887253</v>
      </c>
      <c r="N27" s="9">
        <f>IF(L27="","",L27+Inputs!$B$6)</f>
        <v>232.98983903739349</v>
      </c>
      <c r="O27" s="9">
        <f>IF(J27="","",SQRT(Inputs!$B$6^2+(ABS(J27)+Inputs!$B$7/2)^2))</f>
        <v>4889.5713204714211</v>
      </c>
      <c r="P27" s="10" t="str">
        <f>IF(A27="","",IF(AND(Math!P25,Math!AF25),"OK","No solution"))</f>
        <v>OK</v>
      </c>
    </row>
    <row r="28" spans="1:16">
      <c r="A28" s="7">
        <f>Math!A26</f>
        <v>-36</v>
      </c>
      <c r="B28" s="8">
        <f>IF(OR(Math!P26=FALSE,Math!A26=""),"",Math!Q26)</f>
        <v>-14.711515164449178</v>
      </c>
      <c r="C28" s="8">
        <f>IF(OR(Math!AF26=FALSE,Math!A26=""),"",Math!AG26)</f>
        <v>-19.184642048019121</v>
      </c>
      <c r="D28" t="str">
        <f t="shared" si="0"/>
        <v>Right</v>
      </c>
      <c r="E28" s="8">
        <f t="shared" si="1"/>
        <v>19.184642048019121</v>
      </c>
      <c r="F28" s="8">
        <f t="shared" si="2"/>
        <v>14.711515164449178</v>
      </c>
      <c r="G28" s="8">
        <f>IF(OR(E28="",F28=""),"",IF(OR(ABS(E28)&lt;0.000000001,ABS(F28)&lt;0.000000001),"",((1/TAN(F28*PI()/180))-(1/TAN(E28*PI()/180)))/(Inputs!$B$7/Inputs!$B$6)*100))</f>
        <v>121.49350427961183</v>
      </c>
      <c r="H28" s="9">
        <f>IF(E28="","",Inputs!$B$6/TAN(E28*PI()/180)+Inputs!$B$7/2)</f>
        <v>4236.3158922180673</v>
      </c>
      <c r="I28" s="9">
        <f>IF(F28="","",Inputs!$B$6/TAN(F28*PI()/180)-Inputs!$B$7/2)</f>
        <v>4451.2509350141854</v>
      </c>
      <c r="J28" s="9">
        <f t="shared" si="3"/>
        <v>4343.7834136161264</v>
      </c>
      <c r="K28" s="9">
        <f t="shared" si="4"/>
        <v>214.93504279611807</v>
      </c>
      <c r="L28" s="9">
        <f>IF(OR(B28="",C28="",ABS(SIN(RADIANS(C28-B28)))&lt;0.000000001),"",Inputs!$B$7*SIN(RADIANS(B28))*SIN(RADIANS(C28))/SIN(RADIANS(C28-B28)))</f>
        <v>-1070.0160537044912</v>
      </c>
      <c r="M28" s="9">
        <f>IF(L28="","",-Inputs!$B$7/2*(COS(RADIANS(B28))*SIN(RADIANS(C28))+COS(RADIANS(C28))*SIN(RADIANS(B28)))/SIN(RADIANS(C28-B28)))</f>
        <v>-3575.3215279881156</v>
      </c>
      <c r="N28" s="9">
        <f>IF(L28="","",L28+Inputs!$B$6)</f>
        <v>229.98394629550876</v>
      </c>
      <c r="O28" s="9">
        <f>IF(J28="","",SQRT(Inputs!$B$6^2+(ABS(J28)+Inputs!$B$7/2)^2))</f>
        <v>5015.2006697661354</v>
      </c>
      <c r="P28" s="10" t="str">
        <f>IF(A28="","",IF(AND(Math!P26,Math!AF26),"OK","No solution"))</f>
        <v>OK</v>
      </c>
    </row>
    <row r="29" spans="1:16">
      <c r="A29" s="7">
        <f>Math!A27</f>
        <v>-35</v>
      </c>
      <c r="B29" s="8">
        <f>IF(OR(Math!P27=FALSE,Math!A27=""),"",Math!Q27)</f>
        <v>-14.335845073548183</v>
      </c>
      <c r="C29" s="8">
        <f>IF(OR(Math!AF27=FALSE,Math!A27=""),"",Math!AG27)</f>
        <v>-18.545048693576856</v>
      </c>
      <c r="D29" t="str">
        <f t="shared" si="0"/>
        <v>Right</v>
      </c>
      <c r="E29" s="8">
        <f t="shared" si="1"/>
        <v>18.545048693576856</v>
      </c>
      <c r="F29" s="8">
        <f t="shared" si="2"/>
        <v>14.335845073548183</v>
      </c>
      <c r="G29" s="8">
        <f>IF(OR(E29="",F29=""),"",IF(OR(ABS(E29)&lt;0.000000001,ABS(F29)&lt;0.000000001),"",((1/TAN(F29*PI()/180))-(1/TAN(E29*PI()/180)))/(Inputs!$B$7/Inputs!$B$6)*100))</f>
        <v>121.16426247430709</v>
      </c>
      <c r="H29" s="9">
        <f>IF(E29="","",Inputs!$B$6/TAN(E29*PI()/180)+Inputs!$B$7/2)</f>
        <v>4375.1622860366151</v>
      </c>
      <c r="I29" s="9">
        <f>IF(F29="","",Inputs!$B$6/TAN(F29*PI()/180)-Inputs!$B$7/2)</f>
        <v>4586.8049107796869</v>
      </c>
      <c r="J29" s="9">
        <f t="shared" si="3"/>
        <v>4480.983598408151</v>
      </c>
      <c r="K29" s="9">
        <f t="shared" si="4"/>
        <v>211.64262474307179</v>
      </c>
      <c r="L29" s="9">
        <f>IF(OR(B29="",C29="",ABS(SIN(RADIANS(C29-B29)))&lt;0.000000001),"",Inputs!$B$7*SIN(RADIANS(B29))*SIN(RADIANS(C29))/SIN(RADIANS(C29-B29)))</f>
        <v>-1072.9236273572533</v>
      </c>
      <c r="M29" s="9">
        <f>IF(L29="","",-Inputs!$B$7/2*(COS(RADIANS(B29))*SIN(RADIANS(C29))+COS(RADIANS(C29))*SIN(RADIANS(B29)))/SIN(RADIANS(C29-B29)))</f>
        <v>-3698.2716742557159</v>
      </c>
      <c r="N29" s="9">
        <f>IF(L29="","",L29+Inputs!$B$6)</f>
        <v>227.07637264274672</v>
      </c>
      <c r="O29" s="9">
        <f>IF(J29="","",SQRT(Inputs!$B$6^2+(ABS(J29)+Inputs!$B$7/2)^2))</f>
        <v>5147.8342638056065</v>
      </c>
      <c r="P29" s="10" t="str">
        <f>IF(A29="","",IF(AND(Math!P27,Math!AF27),"OK","No solution"))</f>
        <v>OK</v>
      </c>
    </row>
    <row r="30" spans="1:16">
      <c r="A30" s="7">
        <f>Math!A28</f>
        <v>-34</v>
      </c>
      <c r="B30" s="8">
        <f>IF(OR(Math!P28=FALSE,Math!A28=""),"",Math!Q28)</f>
        <v>-13.958755304863567</v>
      </c>
      <c r="C30" s="8">
        <f>IF(OR(Math!AF28=FALSE,Math!A28=""),"",Math!AG28)</f>
        <v>-17.913762310431675</v>
      </c>
      <c r="D30" t="str">
        <f t="shared" si="0"/>
        <v>Right</v>
      </c>
      <c r="E30" s="8">
        <f t="shared" si="1"/>
        <v>17.913762310431675</v>
      </c>
      <c r="F30" s="8">
        <f t="shared" si="2"/>
        <v>13.958755304863567</v>
      </c>
      <c r="G30" s="8">
        <f>IF(OR(E30="",F30=""),"",IF(OR(ABS(E30)&lt;0.000000001,ABS(F30)&lt;0.000000001),"",((1/TAN(F30*PI()/180))-(1/TAN(E30*PI()/180)))/(Inputs!$B$7/Inputs!$B$6)*100))</f>
        <v>120.84766466805652</v>
      </c>
      <c r="H30" s="9">
        <f>IF(E30="","",Inputs!$B$6/TAN(E30*PI()/180)+Inputs!$B$7/2)</f>
        <v>4521.5745002059666</v>
      </c>
      <c r="I30" s="9">
        <f>IF(F30="","",Inputs!$B$6/TAN(F30*PI()/180)-Inputs!$B$7/2)</f>
        <v>4730.0511468865334</v>
      </c>
      <c r="J30" s="9">
        <f t="shared" si="3"/>
        <v>4625.81282354625</v>
      </c>
      <c r="K30" s="9">
        <f t="shared" si="4"/>
        <v>208.47664668056677</v>
      </c>
      <c r="L30" s="9">
        <f>IF(OR(B30="",C30="",ABS(SIN(RADIANS(C30-B30)))&lt;0.000000001),"",Inputs!$B$7*SIN(RADIANS(B30))*SIN(RADIANS(C30))/SIN(RADIANS(C30-B30)))</f>
        <v>-1075.7344823922163</v>
      </c>
      <c r="M30" s="9">
        <f>IF(L30="","",-Inputs!$B$7/2*(COS(RADIANS(B30))*SIN(RADIANS(C30))+COS(RADIANS(C30))*SIN(RADIANS(B30)))/SIN(RADIANS(C30-B30)))</f>
        <v>-3827.8048949083086</v>
      </c>
      <c r="N30" s="9">
        <f>IF(L30="","",L30+Inputs!$B$6)</f>
        <v>224.26551760778375</v>
      </c>
      <c r="O30" s="9">
        <f>IF(J30="","",SQRT(Inputs!$B$6^2+(ABS(J30)+Inputs!$B$7/2)^2))</f>
        <v>5288.0957916844864</v>
      </c>
      <c r="P30" s="10" t="str">
        <f>IF(A30="","",IF(AND(Math!P28,Math!AF28),"OK","No solution"))</f>
        <v>OK</v>
      </c>
    </row>
    <row r="31" spans="1:16">
      <c r="A31" s="7">
        <f>Math!A29</f>
        <v>-33</v>
      </c>
      <c r="B31" s="8">
        <f>IF(OR(Math!P29=FALSE,Math!A29=""),"",Math!Q29)</f>
        <v>-13.580211377489961</v>
      </c>
      <c r="C31" s="8">
        <f>IF(OR(Math!AF29=FALSE,Math!A29=""),"",Math!AG29)</f>
        <v>-17.290515095184379</v>
      </c>
      <c r="D31" t="str">
        <f t="shared" si="0"/>
        <v>Right</v>
      </c>
      <c r="E31" s="8">
        <f t="shared" si="1"/>
        <v>17.290515095184379</v>
      </c>
      <c r="F31" s="8">
        <f t="shared" si="2"/>
        <v>13.580211377489961</v>
      </c>
      <c r="G31" s="8">
        <f>IF(OR(E31="",F31=""),"",IF(OR(ABS(E31)&lt;0.000000001,ABS(F31)&lt;0.000000001),"",((1/TAN(F31*PI()/180))-(1/TAN(E31*PI()/180)))/(Inputs!$B$7/Inputs!$B$6)*100))</f>
        <v>120.54335802788067</v>
      </c>
      <c r="H31" s="9">
        <f>IF(E31="","",Inputs!$B$6/TAN(E31*PI()/180)+Inputs!$B$7/2)</f>
        <v>4676.2543416293229</v>
      </c>
      <c r="I31" s="9">
        <f>IF(F31="","",Inputs!$B$6/TAN(F31*PI()/180)-Inputs!$B$7/2)</f>
        <v>4881.6879219081293</v>
      </c>
      <c r="J31" s="9">
        <f t="shared" si="3"/>
        <v>4778.9711317687261</v>
      </c>
      <c r="K31" s="9">
        <f t="shared" si="4"/>
        <v>205.4335802788064</v>
      </c>
      <c r="L31" s="9">
        <f>IF(OR(B31="",C31="",ABS(SIN(RADIANS(C31-B31)))&lt;0.000000001),"",Inputs!$B$7*SIN(RADIANS(B31))*SIN(RADIANS(C31))/SIN(RADIANS(C31-B31)))</f>
        <v>-1078.4501288733964</v>
      </c>
      <c r="M31" s="9">
        <f>IF(L31="","",-Inputs!$B$7/2*(COS(RADIANS(B31))*SIN(RADIANS(C31))+COS(RADIANS(C31))*SIN(RADIANS(B31)))/SIN(RADIANS(C31-B31)))</f>
        <v>-3964.524640721711</v>
      </c>
      <c r="N31" s="9">
        <f>IF(L31="","",L31+Inputs!$B$6)</f>
        <v>221.54987112660365</v>
      </c>
      <c r="O31" s="9">
        <f>IF(J31="","",SQRT(Inputs!$B$6^2+(ABS(J31)+Inputs!$B$7/2)^2))</f>
        <v>5436.6843029596248</v>
      </c>
      <c r="P31" s="10" t="str">
        <f>IF(A31="","",IF(AND(Math!P29,Math!AF29),"OK","No solution"))</f>
        <v>OK</v>
      </c>
    </row>
    <row r="32" spans="1:16">
      <c r="A32" s="7">
        <f>Math!A30</f>
        <v>-32</v>
      </c>
      <c r="B32" s="8">
        <f>IF(OR(Math!P30=FALSE,Math!A30=""),"",Math!Q30)</f>
        <v>-13.200178185777748</v>
      </c>
      <c r="C32" s="8">
        <f>IF(OR(Math!AF30=FALSE,Math!A30=""),"",Math!AG30)</f>
        <v>-16.675051651039816</v>
      </c>
      <c r="D32" t="str">
        <f t="shared" si="0"/>
        <v>Right</v>
      </c>
      <c r="E32" s="8">
        <f t="shared" si="1"/>
        <v>16.675051651039816</v>
      </c>
      <c r="F32" s="8">
        <f t="shared" si="2"/>
        <v>13.200178185777748</v>
      </c>
      <c r="G32" s="8">
        <f>IF(OR(E32="",F32=""),"",IF(OR(ABS(E32)&lt;0.000000001,ABS(F32)&lt;0.000000001),"",((1/TAN(F32*PI()/180))-(1/TAN(E32*PI()/180)))/(Inputs!$B$7/Inputs!$B$6)*100))</f>
        <v>120.25101099122652</v>
      </c>
      <c r="H32" s="9">
        <f>IF(E32="","",Inputs!$B$6/TAN(E32*PI()/180)+Inputs!$B$7/2)</f>
        <v>4839.9906414711804</v>
      </c>
      <c r="I32" s="9">
        <f>IF(F32="","",Inputs!$B$6/TAN(F32*PI()/180)-Inputs!$B$7/2)</f>
        <v>5042.5007513834453</v>
      </c>
      <c r="J32" s="9">
        <f t="shared" si="3"/>
        <v>4941.2456964273133</v>
      </c>
      <c r="K32" s="9">
        <f t="shared" si="4"/>
        <v>202.51010991226485</v>
      </c>
      <c r="L32" s="9">
        <f>IF(OR(B32="",C32="",ABS(SIN(RADIANS(C32-B32)))&lt;0.000000001),"",Inputs!$B$7*SIN(RADIANS(B32))*SIN(RADIANS(C32))/SIN(RADIANS(C32-B32)))</f>
        <v>-1081.0719920640402</v>
      </c>
      <c r="M32" s="9">
        <f>IF(L32="","",-Inputs!$B$7/2*(COS(RADIANS(B32))*SIN(RADIANS(C32))+COS(RADIANS(C32))*SIN(RADIANS(B32)))/SIN(RADIANS(C32-B32)))</f>
        <v>-4109.1094833188763</v>
      </c>
      <c r="N32" s="9">
        <f>IF(L32="","",L32+Inputs!$B$6)</f>
        <v>218.92800793595984</v>
      </c>
      <c r="O32" s="9">
        <f>IF(J32="","",SQRT(Inputs!$B$6^2+(ABS(J32)+Inputs!$B$7/2)^2))</f>
        <v>5594.3860010629187</v>
      </c>
      <c r="P32" s="10" t="str">
        <f>IF(A32="","",IF(AND(Math!P30,Math!AF30),"OK","No solution"))</f>
        <v>OK</v>
      </c>
    </row>
    <row r="33" spans="1:16">
      <c r="A33" s="7">
        <f>Math!A31</f>
        <v>-31</v>
      </c>
      <c r="B33" s="8">
        <f>IF(OR(Math!P31=FALSE,Math!A31=""),"",Math!Q31)</f>
        <v>-12.818619977713336</v>
      </c>
      <c r="C33" s="8">
        <f>IF(OR(Math!AF31=FALSE,Math!A31=""),"",Math!AG31)</f>
        <v>-16.067128190598286</v>
      </c>
      <c r="D33" t="str">
        <f t="shared" si="0"/>
        <v>Right</v>
      </c>
      <c r="E33" s="8">
        <f t="shared" si="1"/>
        <v>16.067128190598286</v>
      </c>
      <c r="F33" s="8">
        <f t="shared" si="2"/>
        <v>12.818619977713336</v>
      </c>
      <c r="G33" s="8">
        <f>IF(OR(E33="",F33=""),"",IF(OR(ABS(E33)&lt;0.000000001,ABS(F33)&lt;0.000000001),"",((1/TAN(F33*PI()/180))-(1/TAN(E33*PI()/180)))/(Inputs!$B$7/Inputs!$B$6)*100))</f>
        <v>119.97031186518281</v>
      </c>
      <c r="H33" s="9">
        <f>IF(E33="","",Inputs!$B$6/TAN(E33*PI()/180)+Inputs!$B$7/2)</f>
        <v>5013.6733387283102</v>
      </c>
      <c r="I33" s="9">
        <f>IF(F33="","",Inputs!$B$6/TAN(F33*PI()/180)-Inputs!$B$7/2)</f>
        <v>5213.3764573801382</v>
      </c>
      <c r="J33" s="9">
        <f t="shared" si="3"/>
        <v>5113.5248980542237</v>
      </c>
      <c r="K33" s="9">
        <f t="shared" si="4"/>
        <v>199.70311865182794</v>
      </c>
      <c r="L33" s="9">
        <f>IF(OR(B33="",C33="",ABS(SIN(RADIANS(C33-B33)))&lt;0.000000001),"",Inputs!$B$7*SIN(RADIANS(B33))*SIN(RADIANS(C33))/SIN(RADIANS(C33-B33)))</f>
        <v>-1083.6014175414341</v>
      </c>
      <c r="M33" s="9">
        <f>IF(L33="","",-Inputs!$B$7/2*(COS(RADIANS(B33))*SIN(RADIANS(C33))+COS(RADIANS(C33))*SIN(RADIANS(B33)))/SIN(RADIANS(C33-B33)))</f>
        <v>-4262.3252524345953</v>
      </c>
      <c r="N33" s="9">
        <f>IF(L33="","",L33+Inputs!$B$6)</f>
        <v>216.3985824585659</v>
      </c>
      <c r="O33" s="9">
        <f>IF(J33="","",SQRT(Inputs!$B$6^2+(ABS(J33)+Inputs!$B$7/2)^2))</f>
        <v>5762.0883177086662</v>
      </c>
      <c r="P33" s="10" t="str">
        <f>IF(A33="","",IF(AND(Math!P31,Math!AF31),"OK","No solution"))</f>
        <v>OK</v>
      </c>
    </row>
    <row r="34" spans="1:16">
      <c r="A34" s="7">
        <f>Math!A32</f>
        <v>-30</v>
      </c>
      <c r="B34" s="8">
        <f>IF(OR(Math!P32=FALSE,Math!A32=""),"",Math!Q32)</f>
        <v>-12.435500332547011</v>
      </c>
      <c r="C34" s="8">
        <f>IF(OR(Math!AF32=FALSE,Math!A32=""),"",Math!AG32)</f>
        <v>-15.466511804006489</v>
      </c>
      <c r="D34" t="str">
        <f t="shared" si="0"/>
        <v>Right</v>
      </c>
      <c r="E34" s="8">
        <f t="shared" si="1"/>
        <v>15.466511804006489</v>
      </c>
      <c r="F34" s="8">
        <f t="shared" si="2"/>
        <v>12.435500332547011</v>
      </c>
      <c r="G34" s="8">
        <f>IF(OR(E34="",F34=""),"",IF(OR(ABS(E34)&lt;0.000000001,ABS(F34)&lt;0.000000001),"",((1/TAN(F34*PI()/180))-(1/TAN(E34*PI()/180)))/(Inputs!$B$7/Inputs!$B$6)*100))</f>
        <v>119.70096755066267</v>
      </c>
      <c r="H34" s="9">
        <f>IF(E34="","",Inputs!$B$6/TAN(E34*PI()/180)+Inputs!$B$7/2)</f>
        <v>5198.3103764144498</v>
      </c>
      <c r="I34" s="9">
        <f>IF(F34="","",Inputs!$B$6/TAN(F34*PI()/180)-Inputs!$B$7/2)</f>
        <v>5395.3200519210759</v>
      </c>
      <c r="J34" s="9">
        <f t="shared" si="3"/>
        <v>5296.8152141677629</v>
      </c>
      <c r="K34" s="9">
        <f t="shared" si="4"/>
        <v>197.00967550662608</v>
      </c>
      <c r="L34" s="9">
        <f>IF(OR(B34="",C34="",ABS(SIN(RADIANS(C34-B34)))&lt;0.000000001),"",Inputs!$B$7*SIN(RADIANS(B34))*SIN(RADIANS(C34))/SIN(RADIANS(C34-B34)))</f>
        <v>-1086.0396758696077</v>
      </c>
      <c r="M34" s="9">
        <f>IF(L34="","",-Inputs!$B$7/2*(COS(RADIANS(B34))*SIN(RADIANS(C34))+COS(RADIANS(C34))*SIN(RADIANS(B34)))/SIN(RADIANS(C34-B34)))</f>
        <v>-4425.0395987199718</v>
      </c>
      <c r="N34" s="9">
        <f>IF(L34="","",L34+Inputs!$B$6)</f>
        <v>213.96032413039234</v>
      </c>
      <c r="O34" s="9">
        <f>IF(J34="","",SQRT(Inputs!$B$6^2+(ABS(J34)+Inputs!$B$7/2)^2))</f>
        <v>5940.7968006999572</v>
      </c>
      <c r="P34" s="10" t="str">
        <f>IF(A34="","",IF(AND(Math!P32,Math!AF32),"OK","No solution"))</f>
        <v>OK</v>
      </c>
    </row>
    <row r="35" spans="1:16">
      <c r="A35" s="7">
        <f>Math!A33</f>
        <v>-29</v>
      </c>
      <c r="B35" s="8">
        <f>IF(OR(Math!P33=FALSE,Math!A33=""),"",Math!Q33)</f>
        <v>-12.050782137632183</v>
      </c>
      <c r="C35" s="8">
        <f>IF(OR(Math!AF33=FALSE,Math!A33=""),"",Math!AG33)</f>
        <v>-14.872979785961997</v>
      </c>
      <c r="D35" t="str">
        <f t="shared" si="0"/>
        <v>Right</v>
      </c>
      <c r="E35" s="8">
        <f t="shared" si="1"/>
        <v>14.872979785961997</v>
      </c>
      <c r="F35" s="8">
        <f t="shared" si="2"/>
        <v>12.050782137632183</v>
      </c>
      <c r="G35" s="8">
        <f>IF(OR(E35="",F35=""),"",IF(OR(ABS(E35)&lt;0.000000001,ABS(F35)&lt;0.000000001),"",((1/TAN(F35*PI()/180))-(1/TAN(E35*PI()/180)))/(Inputs!$B$7/Inputs!$B$6)*100))</f>
        <v>119.44270237883981</v>
      </c>
      <c r="H35" s="9">
        <f>IF(E35="","",Inputs!$B$6/TAN(E35*PI()/180)+Inputs!$B$7/2)</f>
        <v>5395.0480896917488</v>
      </c>
      <c r="I35" s="9">
        <f>IF(F35="","",Inputs!$B$6/TAN(F35*PI()/180)-Inputs!$B$7/2)</f>
        <v>5589.4751134801472</v>
      </c>
      <c r="J35" s="9">
        <f t="shared" si="3"/>
        <v>5492.2616015859476</v>
      </c>
      <c r="K35" s="9">
        <f t="shared" si="4"/>
        <v>194.4270237883984</v>
      </c>
      <c r="L35" s="9">
        <f>IF(OR(B35="",C35="",ABS(SIN(RADIANS(C35-B35)))&lt;0.000000001),"",Inputs!$B$7*SIN(RADIANS(B35))*SIN(RADIANS(C35))/SIN(RADIANS(C35-B35)))</f>
        <v>-1088.3879668736495</v>
      </c>
      <c r="M35" s="9">
        <f>IF(L35="","",-Inputs!$B$7/2*(COS(RADIANS(B35))*SIN(RADIANS(C35))+COS(RADIANS(C35))*SIN(RADIANS(B35)))/SIN(RADIANS(C35-B35)))</f>
        <v>-4598.2395677602644</v>
      </c>
      <c r="N35" s="9">
        <f>IF(L35="","",L35+Inputs!$B$6)</f>
        <v>211.61203312635052</v>
      </c>
      <c r="O35" s="9">
        <f>IF(J35="","",SQRT(Inputs!$B$6^2+(ABS(J35)+Inputs!$B$7/2)^2))</f>
        <v>6131.6554943866004</v>
      </c>
      <c r="P35" s="10" t="str">
        <f>IF(A35="","",IF(AND(Math!P33,Math!AF33),"OK","No solution"))</f>
        <v>OK</v>
      </c>
    </row>
    <row r="36" spans="1:16">
      <c r="A36" s="7">
        <f>Math!A34</f>
        <v>-28</v>
      </c>
      <c r="B36" s="8">
        <f>IF(OR(Math!P34=FALSE,Math!A34=""),"",Math!Q34)</f>
        <v>-11.66442756443622</v>
      </c>
      <c r="C36" s="8">
        <f>IF(OR(Math!AF34=FALSE,Math!A34=""),"",Math!AG34)</f>
        <v>-14.286319015819165</v>
      </c>
      <c r="D36" t="str">
        <f t="shared" ref="D36:D67" si="5">IF(OR(B36="",C36=""),"",IF(ABS((B36+C36)/2)&lt;0.0001,"Straight",IF((B36+C36)/2&gt;0,"Left","Right")))</f>
        <v>Right</v>
      </c>
      <c r="E36" s="8">
        <f t="shared" ref="E36:E67" si="6">IF(OR(B36="",C36="",D36="Straight"),"",IF(D36="Left",ABS(B36),ABS(C36)))</f>
        <v>14.286319015819165</v>
      </c>
      <c r="F36" s="8">
        <f t="shared" ref="F36:F67" si="7">IF(OR(B36="",C36="",D36="Straight"),"",IF(D36="Left",ABS(C36),ABS(B36)))</f>
        <v>11.66442756443622</v>
      </c>
      <c r="G36" s="8">
        <f>IF(OR(E36="",F36=""),"",IF(OR(ABS(E36)&lt;0.000000001,ABS(F36)&lt;0.000000001),"",((1/TAN(F36*PI()/180))-(1/TAN(E36*PI()/180)))/(Inputs!$B$7/Inputs!$B$6)*100))</f>
        <v>119.19525704862926</v>
      </c>
      <c r="H36" s="9">
        <f>IF(E36="","",Inputs!$B$6/TAN(E36*PI()/180)+Inputs!$B$7/2)</f>
        <v>5605.1959593265374</v>
      </c>
      <c r="I36" s="9">
        <f>IF(F36="","",Inputs!$B$6/TAN(F36*PI()/180)-Inputs!$B$7/2)</f>
        <v>5797.14852981283</v>
      </c>
      <c r="J36" s="9">
        <f t="shared" ref="J36:J67" si="8">IF(OR(H36="",I36=""),"",AVERAGE(H36,I36))</f>
        <v>5701.1722445696832</v>
      </c>
      <c r="K36" s="9">
        <f t="shared" ref="K36:K67" si="9">IF(OR(H36="",I36=""),"",I36-H36)</f>
        <v>191.95257048629264</v>
      </c>
      <c r="L36" s="9">
        <f>IF(OR(B36="",C36="",ABS(SIN(RADIANS(C36-B36)))&lt;0.000000001),"",Inputs!$B$7*SIN(RADIANS(B36))*SIN(RADIANS(C36))/SIN(RADIANS(C36-B36)))</f>
        <v>-1090.6474235544672</v>
      </c>
      <c r="M36" s="9">
        <f>IF(L36="","",-Inputs!$B$7/2*(COS(RADIANS(B36))*SIN(RADIANS(C36))+COS(RADIANS(C36))*SIN(RADIANS(B36)))/SIN(RADIANS(C36-B36)))</f>
        <v>-4783.0529382924342</v>
      </c>
      <c r="N36" s="9">
        <f>IF(L36="","",L36+Inputs!$B$6)</f>
        <v>209.3525764455328</v>
      </c>
      <c r="O36" s="9">
        <f>IF(J36="","",SQRT(Inputs!$B$6^2+(ABS(J36)+Inputs!$B$7/2)^2))</f>
        <v>6335.9716860811022</v>
      </c>
      <c r="P36" s="10" t="str">
        <f>IF(A36="","",IF(AND(Math!P34,Math!AF34),"OK","No solution"))</f>
        <v>OK</v>
      </c>
    </row>
    <row r="37" spans="1:16">
      <c r="A37" s="7">
        <f>Math!A35</f>
        <v>-27</v>
      </c>
      <c r="B37" s="8">
        <f>IF(OR(Math!P35=FALSE,Math!A35=""),"",Math!Q35)</f>
        <v>-11.276398043682073</v>
      </c>
      <c r="C37" s="8">
        <f>IF(OR(Math!AF35=FALSE,Math!A35=""),"",Math!AG35)</f>
        <v>-13.706325385704998</v>
      </c>
      <c r="D37" t="str">
        <f t="shared" si="5"/>
        <v>Right</v>
      </c>
      <c r="E37" s="8">
        <f t="shared" si="6"/>
        <v>13.706325385704998</v>
      </c>
      <c r="F37" s="8">
        <f t="shared" si="7"/>
        <v>11.276398043682073</v>
      </c>
      <c r="G37" s="8">
        <f>IF(OR(E37="",F37=""),"",IF(OR(ABS(E37)&lt;0.000000001,ABS(F37)&lt;0.000000001),"",((1/TAN(F37*PI()/180))-(1/TAN(E37*PI()/180)))/(Inputs!$B$7/Inputs!$B$6)*100))</f>
        <v>118.95838765536801</v>
      </c>
      <c r="H37" s="9">
        <f>IF(E37="","",Inputs!$B$6/TAN(E37*PI()/180)+Inputs!$B$7/2)</f>
        <v>5830.2568625778495</v>
      </c>
      <c r="I37" s="9">
        <f>IF(F37="","",Inputs!$B$6/TAN(F37*PI()/180)-Inputs!$B$7/2)</f>
        <v>6019.8407391315295</v>
      </c>
      <c r="J37" s="9">
        <f t="shared" si="8"/>
        <v>5925.048800854689</v>
      </c>
      <c r="K37" s="9">
        <f t="shared" si="9"/>
        <v>189.58387655368006</v>
      </c>
      <c r="L37" s="9">
        <f>IF(OR(B37="",C37="",ABS(SIN(RADIANS(C37-B37)))&lt;0.000000001),"",Inputs!$B$7*SIN(RADIANS(B37))*SIN(RADIANS(C37))/SIN(RADIANS(C37-B37)))</f>
        <v>-1092.8191156778298</v>
      </c>
      <c r="M37" s="9">
        <f>IF(L37="","",-Inputs!$B$7/2*(COS(RADIANS(B37))*SIN(RADIANS(C37))+COS(RADIANS(C37))*SIN(RADIANS(B37)))/SIN(RADIANS(C37-B37)))</f>
        <v>-4980.7743006907749</v>
      </c>
      <c r="N37" s="9">
        <f>IF(L37="","",L37+Inputs!$B$6)</f>
        <v>207.18088432217019</v>
      </c>
      <c r="O37" s="9">
        <f>IF(J37="","",SQRT(Inputs!$B$6^2+(ABS(J37)+Inputs!$B$7/2)^2))</f>
        <v>6555.2461504785824</v>
      </c>
      <c r="P37" s="10" t="str">
        <f>IF(A37="","",IF(AND(Math!P35,Math!AF35),"OK","No solution"))</f>
        <v>OK</v>
      </c>
    </row>
    <row r="38" spans="1:16">
      <c r="A38" s="7">
        <f>Math!A36</f>
        <v>-26</v>
      </c>
      <c r="B38" s="8">
        <f>IF(OR(Math!P36=FALSE,Math!A36=""),"",Math!Q36)</f>
        <v>-10.886654239577581</v>
      </c>
      <c r="C38" s="8">
        <f>IF(OR(Math!AF36=FALSE,Math!A36=""),"",Math!AG36)</f>
        <v>-13.132803272122826</v>
      </c>
      <c r="D38" t="str">
        <f t="shared" si="5"/>
        <v>Right</v>
      </c>
      <c r="E38" s="8">
        <f t="shared" si="6"/>
        <v>13.132803272122826</v>
      </c>
      <c r="F38" s="8">
        <f t="shared" si="7"/>
        <v>10.886654239577581</v>
      </c>
      <c r="G38" s="8">
        <f>IF(OR(E38="",F38=""),"",IF(OR(ABS(E38)&lt;0.000000001,ABS(F38)&lt;0.000000001),"",((1/TAN(F38*PI()/180))-(1/TAN(E38*PI()/180)))/(Inputs!$B$7/Inputs!$B$6)*100))</f>
        <v>118.7318648019414</v>
      </c>
      <c r="H38" s="9">
        <f>IF(E38="","",Inputs!$B$6/TAN(E38*PI()/180)+Inputs!$B$7/2)</f>
        <v>6071.9643019268733</v>
      </c>
      <c r="I38" s="9">
        <f>IF(F38="","",Inputs!$B$6/TAN(F38*PI()/180)-Inputs!$B$7/2)</f>
        <v>6259.2829499462878</v>
      </c>
      <c r="J38" s="9">
        <f t="shared" si="8"/>
        <v>6165.6236259365805</v>
      </c>
      <c r="K38" s="9">
        <f t="shared" si="9"/>
        <v>187.31864801941447</v>
      </c>
      <c r="L38" s="9">
        <f>IF(OR(B38="",C38="",ABS(SIN(RADIANS(C38-B38)))&lt;0.000000001),"",Inputs!$B$7*SIN(RADIANS(B38))*SIN(RADIANS(C38))/SIN(RADIANS(C38-B38)))</f>
        <v>-1094.9040530682728</v>
      </c>
      <c r="M38" s="9">
        <f>IF(L38="","",-Inputs!$B$7/2*(COS(RADIANS(B38))*SIN(RADIANS(C38))+COS(RADIANS(C38))*SIN(RADIANS(B38)))/SIN(RADIANS(C38-B38)))</f>
        <v>-5192.8971521011244</v>
      </c>
      <c r="N38" s="9">
        <f>IF(L38="","",L38+Inputs!$B$6)</f>
        <v>205.09594693172721</v>
      </c>
      <c r="O38" s="9">
        <f>IF(J38="","",SQRT(Inputs!$B$6^2+(ABS(J38)+Inputs!$B$7/2)^2))</f>
        <v>6791.2103724331737</v>
      </c>
      <c r="P38" s="10" t="str">
        <f>IF(A38="","",IF(AND(Math!P36,Math!AF36),"OK","No solution"))</f>
        <v>OK</v>
      </c>
    </row>
    <row r="39" spans="1:16">
      <c r="A39" s="7">
        <f>Math!A37</f>
        <v>-25</v>
      </c>
      <c r="B39" s="8">
        <f>IF(OR(Math!P37=FALSE,Math!A37=""),"",Math!Q37)</f>
        <v>-10.495156023085332</v>
      </c>
      <c r="C39" s="8">
        <f>IF(OR(Math!AF37=FALSE,Math!A37=""),"",Math!AG37)</f>
        <v>-12.565565047020229</v>
      </c>
      <c r="D39" t="str">
        <f t="shared" si="5"/>
        <v>Right</v>
      </c>
      <c r="E39" s="8">
        <f t="shared" si="6"/>
        <v>12.565565047020229</v>
      </c>
      <c r="F39" s="8">
        <f t="shared" si="7"/>
        <v>10.495156023085332</v>
      </c>
      <c r="G39" s="8">
        <f>IF(OR(E39="",F39=""),"",IF(OR(ABS(E39)&lt;0.000000001,ABS(F39)&lt;0.000000001),"",((1/TAN(F39*PI()/180))-(1/TAN(E39*PI()/180)))/(Inputs!$B$7/Inputs!$B$6)*100))</f>
        <v>118.51547278467021</v>
      </c>
      <c r="H39" s="9">
        <f>IF(E39="","",Inputs!$B$6/TAN(E39*PI()/180)+Inputs!$B$7/2)</f>
        <v>6332.328565748212</v>
      </c>
      <c r="I39" s="9">
        <f>IF(F39="","",Inputs!$B$6/TAN(F39*PI()/180)-Inputs!$B$7/2)</f>
        <v>6517.4832935949144</v>
      </c>
      <c r="J39" s="9">
        <f t="shared" si="8"/>
        <v>6424.9059296715632</v>
      </c>
      <c r="K39" s="9">
        <f t="shared" si="9"/>
        <v>185.15472784670237</v>
      </c>
      <c r="L39" s="9">
        <f>IF(OR(B39="",C39="",ABS(SIN(RADIANS(C39-B39)))&lt;0.000000001),"",Inputs!$B$7*SIN(RADIANS(B39))*SIN(RADIANS(C39))/SIN(RADIANS(C39-B39)))</f>
        <v>-1096.9031886342466</v>
      </c>
      <c r="M39" s="9">
        <f>IF(L39="","",-Inputs!$B$7/2*(COS(RADIANS(B39))*SIN(RADIANS(C39))+COS(RADIANS(C39))*SIN(RADIANS(B39)))/SIN(RADIANS(C39-B39)))</f>
        <v>-5421.1536930244738</v>
      </c>
      <c r="N39" s="9">
        <f>IF(L39="","",L39+Inputs!$B$6)</f>
        <v>203.09681136575341</v>
      </c>
      <c r="O39" s="9">
        <f>IF(J39="","",SQRT(Inputs!$B$6^2+(ABS(J39)+Inputs!$B$7/2)^2))</f>
        <v>7045.8727021427494</v>
      </c>
      <c r="P39" s="10" t="str">
        <f>IF(A39="","",IF(AND(Math!P37,Math!AF37),"OK","No solution"))</f>
        <v>OK</v>
      </c>
    </row>
    <row r="40" spans="1:16">
      <c r="A40" s="7">
        <f>Math!A38</f>
        <v>-24</v>
      </c>
      <c r="B40" s="8">
        <f>IF(OR(Math!P38=FALSE,Math!A38=""),"",Math!Q38)</f>
        <v>-10.10186244418631</v>
      </c>
      <c r="C40" s="8">
        <f>IF(OR(Math!AF38=FALSE,Math!A38=""),"",Math!AG38)</f>
        <v>-12.0044306247351</v>
      </c>
      <c r="D40" t="str">
        <f t="shared" si="5"/>
        <v>Right</v>
      </c>
      <c r="E40" s="8">
        <f t="shared" si="6"/>
        <v>12.0044306247351</v>
      </c>
      <c r="F40" s="8">
        <f t="shared" si="7"/>
        <v>10.10186244418631</v>
      </c>
      <c r="G40" s="8">
        <f>IF(OR(E40="",F40=""),"",IF(OR(ABS(E40)&lt;0.000000001,ABS(F40)&lt;0.000000001),"",((1/TAN(F40*PI()/180))-(1/TAN(E40*PI()/180)))/(Inputs!$B$7/Inputs!$B$6)*100))</f>
        <v>118.3090088470578</v>
      </c>
      <c r="H40" s="9">
        <f>IF(E40="","",Inputs!$B$6/TAN(E40*PI()/180)+Inputs!$B$7/2)</f>
        <v>6613.6944263552241</v>
      </c>
      <c r="I40" s="9">
        <f>IF(F40="","",Inputs!$B$6/TAN(F40*PI()/180)-Inputs!$B$7/2)</f>
        <v>6796.784514825802</v>
      </c>
      <c r="J40" s="9">
        <f t="shared" si="8"/>
        <v>6705.2394705905135</v>
      </c>
      <c r="K40" s="9">
        <f t="shared" si="9"/>
        <v>183.09008847057794</v>
      </c>
      <c r="L40" s="9">
        <f>IF(OR(B40="",C40="",ABS(SIN(RADIANS(C40-B40)))&lt;0.000000001),"",Inputs!$B$7*SIN(RADIANS(B40))*SIN(RADIANS(C40))/SIN(RADIANS(C40-B40)))</f>
        <v>-1098.8174211488454</v>
      </c>
      <c r="M40" s="9">
        <f>IF(L40="","",-Inputs!$B$7/2*(COS(RADIANS(B40))*SIN(RADIANS(C40))+COS(RADIANS(C40))*SIN(RADIANS(B40)))/SIN(RADIANS(C40-B40)))</f>
        <v>-5667.564571738244</v>
      </c>
      <c r="N40" s="9">
        <f>IF(L40="","",L40+Inputs!$B$6)</f>
        <v>201.18257885115463</v>
      </c>
      <c r="O40" s="9">
        <f>IF(J40="","",SQRT(Inputs!$B$6^2+(ABS(J40)+Inputs!$B$7/2)^2))</f>
        <v>7321.5760481303114</v>
      </c>
      <c r="P40" s="10" t="str">
        <f>IF(A40="","",IF(AND(Math!P38,Math!AF38),"OK","No solution"))</f>
        <v>OK</v>
      </c>
    </row>
    <row r="41" spans="1:16">
      <c r="A41" s="7">
        <f>Math!A39</f>
        <v>-23</v>
      </c>
      <c r="B41" s="8">
        <f>IF(OR(Math!P39=FALSE,Math!A39=""),"",Math!Q39)</f>
        <v>-9.7067317030843032</v>
      </c>
      <c r="C41" s="8">
        <f>IF(OR(Math!AF39=FALSE,Math!A39=""),"",Math!AG39)</f>
        <v>-11.449227041613382</v>
      </c>
      <c r="D41" t="str">
        <f t="shared" si="5"/>
        <v>Right</v>
      </c>
      <c r="E41" s="8">
        <f t="shared" si="6"/>
        <v>11.449227041613382</v>
      </c>
      <c r="F41" s="8">
        <f t="shared" si="7"/>
        <v>9.7067317030843032</v>
      </c>
      <c r="G41" s="8">
        <f>IF(OR(E41="",F41=""),"",IF(OR(ABS(E41)&lt;0.000000001,ABS(F41)&lt;0.000000001),"",((1/TAN(F41*PI()/180))-(1/TAN(E41*PI()/180)))/(Inputs!$B$7/Inputs!$B$6)*100))</f>
        <v>118.11228249535601</v>
      </c>
      <c r="H41" s="9">
        <f>IF(E41="","",Inputs!$B$6/TAN(E41*PI()/180)+Inputs!$B$7/2)</f>
        <v>6918.8138870585935</v>
      </c>
      <c r="I41" s="9">
        <f>IF(F41="","",Inputs!$B$6/TAN(F41*PI()/180)-Inputs!$B$7/2)</f>
        <v>7099.9367120121542</v>
      </c>
      <c r="J41" s="9">
        <f t="shared" si="8"/>
        <v>7009.3752995353734</v>
      </c>
      <c r="K41" s="9">
        <f t="shared" si="9"/>
        <v>181.12282495356067</v>
      </c>
      <c r="L41" s="9">
        <f>IF(OR(B41="",C41="",ABS(SIN(RADIANS(C41-B41)))&lt;0.000000001),"",Inputs!$B$7*SIN(RADIANS(B41))*SIN(RADIANS(C41))/SIN(RADIANS(C41-B41)))</f>
        <v>-1100.6475978068681</v>
      </c>
      <c r="M41" s="9">
        <f>IF(L41="","",-Inputs!$B$7/2*(COS(RADIANS(B41))*SIN(RADIANS(C41))+COS(RADIANS(C41))*SIN(RADIANS(B41)))/SIN(RADIANS(C41-B41)))</f>
        <v>-5934.5016042772349</v>
      </c>
      <c r="N41" s="9">
        <f>IF(L41="","",L41+Inputs!$B$6)</f>
        <v>199.35240219313187</v>
      </c>
      <c r="O41" s="9">
        <f>IF(J41="","",SQRT(Inputs!$B$6^2+(ABS(J41)+Inputs!$B$7/2)^2))</f>
        <v>7621.0706196224155</v>
      </c>
      <c r="P41" s="10" t="str">
        <f>IF(A41="","",IF(AND(Math!P39,Math!AF39),"OK","No solution"))</f>
        <v>OK</v>
      </c>
    </row>
    <row r="42" spans="1:16">
      <c r="A42" s="7">
        <f>Math!A40</f>
        <v>-22</v>
      </c>
      <c r="B42" s="8">
        <f>IF(OR(Math!P40=FALSE,Math!A40=""),"",Math!Q40)</f>
        <v>-9.3097211202986383</v>
      </c>
      <c r="C42" s="8">
        <f>IF(OR(Math!AF40=FALSE,Math!A40=""),"",Math!AG40)</f>
        <v>-10.899788065429973</v>
      </c>
      <c r="D42" t="str">
        <f t="shared" si="5"/>
        <v>Right</v>
      </c>
      <c r="E42" s="8">
        <f t="shared" si="6"/>
        <v>10.899788065429973</v>
      </c>
      <c r="F42" s="8">
        <f t="shared" si="7"/>
        <v>9.3097211202986383</v>
      </c>
      <c r="G42" s="8">
        <f>IF(OR(E42="",F42=""),"",IF(OR(ABS(E42)&lt;0.000000001,ABS(F42)&lt;0.000000001),"",((1/TAN(F42*PI()/180))-(1/TAN(E42*PI()/180)))/(Inputs!$B$7/Inputs!$B$6)*100))</f>
        <v>117.92511487046326</v>
      </c>
      <c r="H42" s="9">
        <f>IF(E42="","",Inputs!$B$6/TAN(E42*PI()/180)+Inputs!$B$7/2)</f>
        <v>7250.9387668066183</v>
      </c>
      <c r="I42" s="9">
        <f>IF(F42="","",Inputs!$B$6/TAN(F42*PI()/180)-Inputs!$B$7/2)</f>
        <v>7430.1899155112505</v>
      </c>
      <c r="J42" s="9">
        <f t="shared" si="8"/>
        <v>7340.5643411589344</v>
      </c>
      <c r="K42" s="9">
        <f t="shared" si="9"/>
        <v>179.25114870463221</v>
      </c>
      <c r="L42" s="9">
        <f>IF(OR(B42="",C42="",ABS(SIN(RADIANS(C42-B42)))&lt;0.000000001),"",Inputs!$B$7*SIN(RADIANS(B42))*SIN(RADIANS(C42))/SIN(RADIANS(C42-B42)))</f>
        <v>-1102.3945165777513</v>
      </c>
      <c r="M42" s="9">
        <f>IF(L42="","",-Inputs!$B$7/2*(COS(RADIANS(B42))*SIN(RADIANS(C42))+COS(RADIANS(C42))*SIN(RADIANS(B42)))/SIN(RADIANS(C42-B42)))</f>
        <v>-6224.7675986767563</v>
      </c>
      <c r="N42" s="9">
        <f>IF(L42="","",L42+Inputs!$B$6)</f>
        <v>197.60548342224865</v>
      </c>
      <c r="O42" s="9">
        <f>IF(J42="","",SQRT(Inputs!$B$6^2+(ABS(J42)+Inputs!$B$7/2)^2))</f>
        <v>7947.6065068580892</v>
      </c>
      <c r="P42" s="10" t="str">
        <f>IF(A42="","",IF(AND(Math!P40,Math!AF40),"OK","No solution"))</f>
        <v>OK</v>
      </c>
    </row>
    <row r="43" spans="1:16">
      <c r="A43" s="7">
        <f>Math!A41</f>
        <v>-21</v>
      </c>
      <c r="B43" s="8">
        <f>IF(OR(Math!P41=FALSE,Math!A41=""),"",Math!Q41)</f>
        <v>-8.9107871055861718</v>
      </c>
      <c r="C43" s="8">
        <f>IF(OR(Math!AF41=FALSE,Math!A41=""),"",Math!AG41)</f>
        <v>-10.35595383203815</v>
      </c>
      <c r="D43" t="str">
        <f t="shared" si="5"/>
        <v>Right</v>
      </c>
      <c r="E43" s="8">
        <f t="shared" si="6"/>
        <v>10.35595383203815</v>
      </c>
      <c r="F43" s="8">
        <f t="shared" si="7"/>
        <v>8.9107871055861718</v>
      </c>
      <c r="G43" s="8">
        <f>IF(OR(E43="",F43=""),"",IF(OR(ABS(E43)&lt;0.000000001,ABS(F43)&lt;0.000000001),"",((1/TAN(F43*PI()/180))-(1/TAN(E43*PI()/180)))/(Inputs!$B$7/Inputs!$B$6)*100))</f>
        <v>117.74733817141339</v>
      </c>
      <c r="H43" s="9">
        <f>IF(E43="","",Inputs!$B$6/TAN(E43*PI()/180)+Inputs!$B$7/2)</f>
        <v>7613.939735166322</v>
      </c>
      <c r="I43" s="9">
        <f>IF(F43="","",Inputs!$B$6/TAN(F43*PI()/180)-Inputs!$B$7/2)</f>
        <v>7791.4131168804561</v>
      </c>
      <c r="J43" s="9">
        <f t="shared" si="8"/>
        <v>7702.6764260233886</v>
      </c>
      <c r="K43" s="9">
        <f t="shared" si="9"/>
        <v>177.47338171413412</v>
      </c>
      <c r="L43" s="9">
        <f>IF(OR(B43="",C43="",ABS(SIN(RADIANS(C43-B43)))&lt;0.000000001),"",Inputs!$B$7*SIN(RADIANS(B43))*SIN(RADIANS(C43))/SIN(RADIANS(C43-B43)))</f>
        <v>-1104.0589283704187</v>
      </c>
      <c r="M43" s="9">
        <f>IF(L43="","",-Inputs!$B$7/2*(COS(RADIANS(B43))*SIN(RADIANS(C43))+COS(RADIANS(C43))*SIN(RADIANS(B43)))/SIN(RADIANS(C43-B43)))</f>
        <v>-6541.6989849995925</v>
      </c>
      <c r="N43" s="9">
        <f>IF(L43="","",L43+Inputs!$B$6)</f>
        <v>195.9410716295813</v>
      </c>
      <c r="O43" s="9">
        <f>IF(J43="","",SQRT(Inputs!$B$6^2+(ABS(J43)+Inputs!$B$7/2)^2))</f>
        <v>8305.0527120566694</v>
      </c>
      <c r="P43" s="10" t="str">
        <f>IF(A43="","",IF(AND(Math!P41,Math!AF41),"OK","No solution"))</f>
        <v>OK</v>
      </c>
    </row>
    <row r="44" spans="1:16">
      <c r="A44" s="7">
        <f>Math!A42</f>
        <v>-20</v>
      </c>
      <c r="B44" s="8">
        <f>IF(OR(Math!P42=FALSE,Math!A42=""),"",Math!Q42)</f>
        <v>-8.5098851256334456</v>
      </c>
      <c r="C44" s="8">
        <f>IF(OR(Math!AF42=FALSE,Math!A42=""),"",Math!AG42)</f>
        <v>-9.8175705069340662</v>
      </c>
      <c r="D44" t="str">
        <f t="shared" si="5"/>
        <v>Right</v>
      </c>
      <c r="E44" s="8">
        <f t="shared" si="6"/>
        <v>9.8175705069340662</v>
      </c>
      <c r="F44" s="8">
        <f t="shared" si="7"/>
        <v>8.5098851256334456</v>
      </c>
      <c r="G44" s="8">
        <f>IF(OR(E44="",F44=""),"",IF(OR(ABS(E44)&lt;0.000000001,ABS(F44)&lt;0.000000001),"",((1/TAN(F44*PI()/180))-(1/TAN(E44*PI()/180)))/(Inputs!$B$7/Inputs!$B$6)*100))</f>
        <v>117.5787951260148</v>
      </c>
      <c r="H44" s="9">
        <f>IF(E44="","",Inputs!$B$6/TAN(E44*PI()/180)+Inputs!$B$7/2)</f>
        <v>8012.4610554830679</v>
      </c>
      <c r="I44" s="9">
        <f>IF(F44="","",Inputs!$B$6/TAN(F44*PI()/180)-Inputs!$B$7/2)</f>
        <v>8188.2490067432154</v>
      </c>
      <c r="J44" s="9">
        <f t="shared" si="8"/>
        <v>8100.3550311131421</v>
      </c>
      <c r="K44" s="9">
        <f t="shared" si="9"/>
        <v>175.78795126014757</v>
      </c>
      <c r="L44" s="9">
        <f>IF(OR(B44="",C44="",ABS(SIN(RADIANS(C44-B44)))&lt;0.000000001),"",Inputs!$B$7*SIN(RADIANS(B44))*SIN(RADIANS(C44))/SIN(RADIANS(C44-B44)))</f>
        <v>-1105.6415390264269</v>
      </c>
      <c r="M44" s="9">
        <f>IF(L44="","",-Inputs!$B$7/2*(COS(RADIANS(B44))*SIN(RADIANS(C44))+COS(RADIANS(C44))*SIN(RADIANS(B44)))/SIN(RADIANS(C44-B44)))</f>
        <v>-6889.2992332772255</v>
      </c>
      <c r="N44" s="9">
        <f>IF(L44="","",L44+Inputs!$B$6)</f>
        <v>194.35846097357307</v>
      </c>
      <c r="O44" s="9">
        <f>IF(J44="","",SQRT(Inputs!$B$6^2+(ABS(J44)+Inputs!$B$7/2)^2))</f>
        <v>8698.051888853799</v>
      </c>
      <c r="P44" s="10" t="str">
        <f>IF(A44="","",IF(AND(Math!P42,Math!AF42),"OK","No solution"))</f>
        <v>OK</v>
      </c>
    </row>
    <row r="45" spans="1:16">
      <c r="A45" s="7">
        <f>Math!A43</f>
        <v>-19</v>
      </c>
      <c r="B45" s="8">
        <f>IF(OR(Math!P43=FALSE,Math!A43=""),"",Math!Q43)</f>
        <v>-8.106969670452699</v>
      </c>
      <c r="C45" s="8">
        <f>IF(OR(Math!AF43=FALSE,Math!A43=""),"",Math!AG43)</f>
        <v>-9.2844899696539471</v>
      </c>
      <c r="D45" t="str">
        <f t="shared" si="5"/>
        <v>Right</v>
      </c>
      <c r="E45" s="8">
        <f t="shared" si="6"/>
        <v>9.2844899696539471</v>
      </c>
      <c r="F45" s="8">
        <f t="shared" si="7"/>
        <v>8.106969670452699</v>
      </c>
      <c r="G45" s="8">
        <f>IF(OR(E45="",F45=""),"",IF(OR(ABS(E45)&lt;0.000000001,ABS(F45)&lt;0.000000001),"",((1/TAN(F45*PI()/180))-(1/TAN(E45*PI()/180)))/(Inputs!$B$7/Inputs!$B$6)*100))</f>
        <v>117.41933850496369</v>
      </c>
      <c r="H45" s="9">
        <f>IF(E45="","",Inputs!$B$6/TAN(E45*PI()/180)+Inputs!$B$7/2)</f>
        <v>8452.1241920698503</v>
      </c>
      <c r="I45" s="9">
        <f>IF(F45="","",Inputs!$B$6/TAN(F45*PI()/180)-Inputs!$B$7/2)</f>
        <v>8626.3175771194874</v>
      </c>
      <c r="J45" s="9">
        <f t="shared" si="8"/>
        <v>8539.2208845946698</v>
      </c>
      <c r="K45" s="9">
        <f t="shared" si="9"/>
        <v>174.19338504963707</v>
      </c>
      <c r="L45" s="9">
        <f>IF(OR(B45="",C45="",ABS(SIN(RADIANS(C45-B45)))&lt;0.000000001),"",Inputs!$B$7*SIN(RADIANS(B45))*SIN(RADIANS(C45))/SIN(RADIANS(C45-B45)))</f>
        <v>-1107.1430111531795</v>
      </c>
      <c r="M45" s="9">
        <f>IF(L45="","",-Inputs!$B$7/2*(COS(RADIANS(B45))*SIN(RADIANS(C45))+COS(RADIANS(C45))*SIN(RADIANS(B45)))/SIN(RADIANS(C45-B45)))</f>
        <v>-7272.4144023632743</v>
      </c>
      <c r="N45" s="9">
        <f>IF(L45="","",L45+Inputs!$B$6)</f>
        <v>192.85698884682051</v>
      </c>
      <c r="O45" s="9">
        <f>IF(J45="","",SQRT(Inputs!$B$6^2+(ABS(J45)+Inputs!$B$7/2)^2))</f>
        <v>9132.2239460326655</v>
      </c>
      <c r="P45" s="10" t="str">
        <f>IF(A45="","",IF(AND(Math!P43,Math!AF43),"OK","No solution"))</f>
        <v>OK</v>
      </c>
    </row>
    <row r="46" spans="1:16">
      <c r="A46" s="7">
        <f>Math!A44</f>
        <v>-18</v>
      </c>
      <c r="B46" s="8">
        <f>IF(OR(Math!P44=FALSE,Math!A44=""),"",Math!Q44)</f>
        <v>-7.7019942184156251</v>
      </c>
      <c r="C46" s="8">
        <f>IF(OR(Math!AF44=FALSE,Math!A44=""),"",Math!AG44)</f>
        <v>-8.7565695191250192</v>
      </c>
      <c r="D46" t="str">
        <f t="shared" si="5"/>
        <v>Right</v>
      </c>
      <c r="E46" s="8">
        <f t="shared" si="6"/>
        <v>8.7565695191250192</v>
      </c>
      <c r="F46" s="8">
        <f t="shared" si="7"/>
        <v>7.7019942184156251</v>
      </c>
      <c r="G46" s="8">
        <f>IF(OR(E46="",F46=""),"",IF(OR(ABS(E46)&lt;0.000000001,ABS(F46)&lt;0.000000001),"",((1/TAN(F46*PI()/180))-(1/TAN(E46*PI()/180)))/(Inputs!$B$7/Inputs!$B$6)*100))</f>
        <v>117.26883067576254</v>
      </c>
      <c r="H46" s="9">
        <f>IF(E46="","",Inputs!$B$6/TAN(E46*PI()/180)+Inputs!$B$7/2)</f>
        <v>8939.799284301449</v>
      </c>
      <c r="I46" s="9">
        <f>IF(F46="","",Inputs!$B$6/TAN(F46*PI()/180)-Inputs!$B$7/2)</f>
        <v>9112.4875910590745</v>
      </c>
      <c r="J46" s="9">
        <f t="shared" si="8"/>
        <v>9026.1434376802608</v>
      </c>
      <c r="K46" s="9">
        <f t="shared" si="9"/>
        <v>172.68830675762547</v>
      </c>
      <c r="L46" s="9">
        <f>IF(OR(B46="",C46="",ABS(SIN(RADIANS(C46-B46)))&lt;0.000000001),"",Inputs!$B$7*SIN(RADIANS(B46))*SIN(RADIANS(C46))/SIN(RADIANS(C46-B46)))</f>
        <v>-1108.5639658114949</v>
      </c>
      <c r="M46" s="9">
        <f>IF(L46="","",-Inputs!$B$7/2*(COS(RADIANS(B46))*SIN(RADIANS(C46))+COS(RADIANS(C46))*SIN(RADIANS(B46)))/SIN(RADIANS(C46-B46)))</f>
        <v>-7696.967204044794</v>
      </c>
      <c r="N46" s="9">
        <f>IF(L46="","",L46+Inputs!$B$6)</f>
        <v>191.43603418850512</v>
      </c>
      <c r="O46" s="9">
        <f>IF(J46="","",SQRT(Inputs!$B$6^2+(ABS(J46)+Inputs!$B$7/2)^2))</f>
        <v>9614.4375184021392</v>
      </c>
      <c r="P46" s="10" t="str">
        <f>IF(A46="","",IF(AND(Math!P44,Math!AF44),"OK","No solution"))</f>
        <v>OK</v>
      </c>
    </row>
    <row r="47" spans="1:16">
      <c r="A47" s="7">
        <f>Math!A45</f>
        <v>-17</v>
      </c>
      <c r="B47" s="8">
        <f>IF(OR(Math!P45=FALSE,Math!A45=""),"",Math!Q45)</f>
        <v>-7.2949111998510014</v>
      </c>
      <c r="C47" s="8">
        <f>IF(OR(Math!AF45=FALSE,Math!A45=""),"",Math!AG45)</f>
        <v>-8.2336715982739097</v>
      </c>
      <c r="D47" t="str">
        <f t="shared" si="5"/>
        <v>Right</v>
      </c>
      <c r="E47" s="8">
        <f t="shared" si="6"/>
        <v>8.2336715982739097</v>
      </c>
      <c r="F47" s="8">
        <f t="shared" si="7"/>
        <v>7.2949111998510014</v>
      </c>
      <c r="G47" s="8">
        <f>IF(OR(E47="",F47=""),"",IF(OR(ABS(E47)&lt;0.000000001,ABS(F47)&lt;0.000000001),"",((1/TAN(F47*PI()/180))-(1/TAN(E47*PI()/180)))/(Inputs!$B$7/Inputs!$B$6)*100))</f>
        <v>117.1271431935329</v>
      </c>
      <c r="H47" s="9">
        <f>IF(E47="","",Inputs!$B$6/TAN(E47*PI()/180)+Inputs!$B$7/2)</f>
        <v>9483.9724329967084</v>
      </c>
      <c r="I47" s="9">
        <f>IF(F47="","",Inputs!$B$6/TAN(F47*PI()/180)-Inputs!$B$7/2)</f>
        <v>9655.2438649320375</v>
      </c>
      <c r="J47" s="9">
        <f t="shared" si="8"/>
        <v>9569.608148964373</v>
      </c>
      <c r="K47" s="9">
        <f t="shared" si="9"/>
        <v>171.27143193532902</v>
      </c>
      <c r="L47" s="9">
        <f>IF(OR(B47="",C47="",ABS(SIN(RADIANS(C47-B47)))&lt;0.000000001),"",Inputs!$B$7*SIN(RADIANS(B47))*SIN(RADIANS(C47))/SIN(RADIANS(C47-B47)))</f>
        <v>-1109.9049840667305</v>
      </c>
      <c r="M47" s="9">
        <f>IF(L47="","",-Inputs!$B$7/2*(COS(RADIANS(B47))*SIN(RADIANS(C47))+COS(RADIANS(C47))*SIN(RADIANS(B47)))/SIN(RADIANS(C47-B47)))</f>
        <v>-8170.2736770008878</v>
      </c>
      <c r="N47" s="9">
        <f>IF(L47="","",L47+Inputs!$B$6)</f>
        <v>190.09501593326945</v>
      </c>
      <c r="O47" s="9">
        <f>IF(J47="","",SQRT(Inputs!$B$6^2+(ABS(J47)+Inputs!$B$7/2)^2))</f>
        <v>10153.177250185761</v>
      </c>
      <c r="P47" s="10" t="str">
        <f>IF(A47="","",IF(AND(Math!P45,Math!AF45),"OK","No solution"))</f>
        <v>OK</v>
      </c>
    </row>
    <row r="48" spans="1:16">
      <c r="A48" s="7">
        <f>Math!A46</f>
        <v>-16</v>
      </c>
      <c r="B48" s="8">
        <f>IF(OR(Math!P46=FALSE,Math!A46=""),"",Math!Q46)</f>
        <v>-6.8856719591287803</v>
      </c>
      <c r="C48" s="8">
        <f>IF(OR(Math!AF46=FALSE,Math!A46=""),"",Math!AG46)</f>
        <v>-7.7156635363554251</v>
      </c>
      <c r="D48" t="str">
        <f t="shared" si="5"/>
        <v>Right</v>
      </c>
      <c r="E48" s="8">
        <f t="shared" si="6"/>
        <v>7.7156635363554251</v>
      </c>
      <c r="F48" s="8">
        <f t="shared" si="7"/>
        <v>6.8856719591287803</v>
      </c>
      <c r="G48" s="8">
        <f>IF(OR(E48="",F48=""),"",IF(OR(ABS(E48)&lt;0.000000001,ABS(F48)&lt;0.000000001),"",((1/TAN(F48*PI()/180))-(1/TAN(E48*PI()/180)))/(Inputs!$B$7/Inputs!$B$6)*100))</f>
        <v>116.99415642592781</v>
      </c>
      <c r="H48" s="9">
        <f>IF(E48="","",Inputs!$B$6/TAN(E48*PI()/180)+Inputs!$B$7/2)</f>
        <v>10095.250717146924</v>
      </c>
      <c r="I48" s="9">
        <f>IF(F48="","",Inputs!$B$6/TAN(F48*PI()/180)-Inputs!$B$7/2)</f>
        <v>10265.192281406204</v>
      </c>
      <c r="J48" s="9">
        <f t="shared" si="8"/>
        <v>10180.221499276564</v>
      </c>
      <c r="K48" s="9">
        <f t="shared" si="9"/>
        <v>169.9415642592794</v>
      </c>
      <c r="L48" s="9">
        <f>IF(OR(B48="",C48="",ABS(SIN(RADIANS(C48-B48)))&lt;0.000000001),"",Inputs!$B$7*SIN(RADIANS(B48))*SIN(RADIANS(C48))/SIN(RADIANS(C48-B48)))</f>
        <v>-1111.1666084135279</v>
      </c>
      <c r="M48" s="9">
        <f>IF(L48="","",-Inputs!$B$7/2*(COS(RADIANS(B48))*SIN(RADIANS(C48))+COS(RADIANS(C48))*SIN(RADIANS(B48)))/SIN(RADIANS(C48-B48)))</f>
        <v>-8701.4786124997081</v>
      </c>
      <c r="N48" s="9">
        <f>IF(L48="","",L48+Inputs!$B$6)</f>
        <v>188.83339158647209</v>
      </c>
      <c r="O48" s="9">
        <f>IF(J48="","",SQRT(Inputs!$B$6^2+(ABS(J48)+Inputs!$B$7/2)^2))</f>
        <v>10759.048808961197</v>
      </c>
      <c r="P48" s="10" t="str">
        <f>IF(A48="","",IF(AND(Math!P46,Math!AF46),"OK","No solution"))</f>
        <v>OK</v>
      </c>
    </row>
    <row r="49" spans="1:16">
      <c r="A49" s="7">
        <f>Math!A47</f>
        <v>-15</v>
      </c>
      <c r="B49" s="8">
        <f>IF(OR(Math!P47=FALSE,Math!A47=""),"",Math!Q47)</f>
        <v>-6.4742267151514961</v>
      </c>
      <c r="C49" s="8">
        <f>IF(OR(Math!AF47=FALSE,Math!A47=""),"",Math!AG47)</f>
        <v>-7.2024173076122056</v>
      </c>
      <c r="D49" t="str">
        <f t="shared" si="5"/>
        <v>Right</v>
      </c>
      <c r="E49" s="8">
        <f t="shared" si="6"/>
        <v>7.2024173076122056</v>
      </c>
      <c r="F49" s="8">
        <f t="shared" si="7"/>
        <v>6.4742267151514961</v>
      </c>
      <c r="G49" s="8">
        <f>IF(OR(E49="",F49=""),"",IF(OR(ABS(E49)&lt;0.000000001,ABS(F49)&lt;0.000000001),"",((1/TAN(F49*PI()/180))-(1/TAN(E49*PI()/180)))/(Inputs!$B$7/Inputs!$B$6)*100))</f>
        <v>116.86975920954951</v>
      </c>
      <c r="H49" s="9">
        <f>IF(E49="","",Inputs!$B$6/TAN(E49*PI()/180)+Inputs!$B$7/2)</f>
        <v>10787.069215323405</v>
      </c>
      <c r="I49" s="9">
        <f>IF(F49="","",Inputs!$B$6/TAN(F49*PI()/180)-Inputs!$B$7/2)</f>
        <v>10955.7668074189</v>
      </c>
      <c r="J49" s="9">
        <f t="shared" si="8"/>
        <v>10871.418011371152</v>
      </c>
      <c r="K49" s="9">
        <f t="shared" si="9"/>
        <v>168.69759209549557</v>
      </c>
      <c r="L49" s="9">
        <f>IF(OR(B49="",C49="",ABS(SIN(RADIANS(C49-B49)))&lt;0.000000001),"",Inputs!$B$7*SIN(RADIANS(B49))*SIN(RADIANS(C49))/SIN(RADIANS(C49-B49)))</f>
        <v>-1112.3493440840205</v>
      </c>
      <c r="M49" s="9">
        <f>IF(L49="","",-Inputs!$B$7/2*(COS(RADIANS(B49))*SIN(RADIANS(C49))+COS(RADIANS(C49))*SIN(RADIANS(B49)))/SIN(RADIANS(C49-B49)))</f>
        <v>-9302.1651493937752</v>
      </c>
      <c r="N49" s="9">
        <f>IF(L49="","",L49+Inputs!$B$6)</f>
        <v>187.65065591597954</v>
      </c>
      <c r="O49" s="9">
        <f>IF(J49="","",SQRT(Inputs!$B$6^2+(ABS(J49)+Inputs!$B$7/2)^2))</f>
        <v>11445.485904466277</v>
      </c>
      <c r="P49" s="10" t="str">
        <f>IF(A49="","",IF(AND(Math!P47,Math!AF47),"OK","No solution"))</f>
        <v>OK</v>
      </c>
    </row>
    <row r="50" spans="1:16">
      <c r="A50" s="7">
        <f>Math!A48</f>
        <v>-14</v>
      </c>
      <c r="B50" s="8">
        <f>IF(OR(Math!P48=FALSE,Math!A48=""),"",Math!Q48)</f>
        <v>-6.0605245201626348</v>
      </c>
      <c r="C50" s="8">
        <f>IF(OR(Math!AF48=FALSE,Math!A48=""),"",Math!AG48)</f>
        <v>-6.693809304998962</v>
      </c>
      <c r="D50" t="str">
        <f t="shared" si="5"/>
        <v>Right</v>
      </c>
      <c r="E50" s="8">
        <f t="shared" si="6"/>
        <v>6.693809304998962</v>
      </c>
      <c r="F50" s="8">
        <f t="shared" si="7"/>
        <v>6.0605245201626348</v>
      </c>
      <c r="G50" s="8">
        <f>IF(OR(E50="",F50=""),"",IF(OR(ABS(E50)&lt;0.000000001,ABS(F50)&lt;0.000000001),"",((1/TAN(F50*PI()/180))-(1/TAN(E50*PI()/180)))/(Inputs!$B$7/Inputs!$B$6)*100))</f>
        <v>116.75384853582651</v>
      </c>
      <c r="H50" s="9">
        <f>IF(E50="","",Inputs!$B$6/TAN(E50*PI()/180)+Inputs!$B$7/2)</f>
        <v>11576.701034276648</v>
      </c>
      <c r="I50" s="9">
        <f>IF(F50="","",Inputs!$B$6/TAN(F50*PI()/180)-Inputs!$B$7/2)</f>
        <v>11744.239519634913</v>
      </c>
      <c r="J50" s="9">
        <f t="shared" si="8"/>
        <v>11660.470276955781</v>
      </c>
      <c r="K50" s="9">
        <f t="shared" si="9"/>
        <v>167.53848535826546</v>
      </c>
      <c r="L50" s="9">
        <f>IF(OR(B50="",C50="",ABS(SIN(RADIANS(C50-B50)))&lt;0.000000001),"",Inputs!$B$7*SIN(RADIANS(B50))*SIN(RADIANS(C50))/SIN(RADIANS(C50-B50)))</f>
        <v>-1113.4536602458018</v>
      </c>
      <c r="M50" s="9">
        <f>IF(L50="","",-Inputs!$B$7/2*(COS(RADIANS(B50))*SIN(RADIANS(C50))+COS(RADIANS(C50))*SIN(RADIANS(B50)))/SIN(RADIANS(C50-B50)))</f>
        <v>-9987.2256231259944</v>
      </c>
      <c r="N50" s="9">
        <f>IF(L50="","",L50+Inputs!$B$6)</f>
        <v>186.54633975419824</v>
      </c>
      <c r="O50" s="9">
        <f>IF(J50="","",SQRT(Inputs!$B$6^2+(ABS(J50)+Inputs!$B$7/2)^2))</f>
        <v>12229.760314770074</v>
      </c>
      <c r="P50" s="10" t="str">
        <f>IF(A50="","",IF(AND(Math!P48,Math!AF48),"OK","No solution"))</f>
        <v>OK</v>
      </c>
    </row>
    <row r="51" spans="1:16">
      <c r="A51" s="7">
        <f>Math!A49</f>
        <v>-13</v>
      </c>
      <c r="B51" s="8">
        <f>IF(OR(Math!P49=FALSE,Math!A49=""),"",Math!Q49)</f>
        <v>-5.6445132167822827</v>
      </c>
      <c r="C51" s="8">
        <f>IF(OR(Math!AF49=FALSE,Math!A49=""),"",Math!AG49)</f>
        <v>-6.1897201278250513</v>
      </c>
      <c r="D51" t="str">
        <f t="shared" si="5"/>
        <v>Right</v>
      </c>
      <c r="E51" s="8">
        <f t="shared" si="6"/>
        <v>6.1897201278250513</v>
      </c>
      <c r="F51" s="8">
        <f t="shared" si="7"/>
        <v>5.6445132167822827</v>
      </c>
      <c r="G51" s="8">
        <f>IF(OR(E51="",F51=""),"",IF(OR(ABS(E51)&lt;0.000000001,ABS(F51)&lt;0.000000001),"",((1/TAN(F51*PI()/180))-(1/TAN(E51*PI()/180)))/(Inputs!$B$7/Inputs!$B$6)*100))</f>
        <v>116.64632926423299</v>
      </c>
      <c r="H51" s="9">
        <f>IF(E51="","",Inputs!$B$6/TAN(E51*PI()/180)+Inputs!$B$7/2)</f>
        <v>12486.733502608142</v>
      </c>
      <c r="I51" s="9">
        <f>IF(F51="","",Inputs!$B$6/TAN(F51*PI()/180)-Inputs!$B$7/2)</f>
        <v>12653.196795250471</v>
      </c>
      <c r="J51" s="9">
        <f t="shared" si="8"/>
        <v>12569.965148929306</v>
      </c>
      <c r="K51" s="9">
        <f t="shared" si="9"/>
        <v>166.46329264232918</v>
      </c>
      <c r="L51" s="9">
        <f>IF(OR(B51="",C51="",ABS(SIN(RADIANS(C51-B51)))&lt;0.000000001),"",Inputs!$B$7*SIN(RADIANS(B51))*SIN(RADIANS(C51))/SIN(RADIANS(C51-B51)))</f>
        <v>-1114.4799910978579</v>
      </c>
      <c r="M51" s="9">
        <f>IF(L51="","",-Inputs!$B$7/2*(COS(RADIANS(B51))*SIN(RADIANS(C51))+COS(RADIANS(C51))*SIN(RADIANS(B51)))/SIN(RADIANS(C51-B51)))</f>
        <v>-10776.134344060862</v>
      </c>
      <c r="N51" s="9">
        <f>IF(L51="","",L51+Inputs!$B$6)</f>
        <v>185.52000890214208</v>
      </c>
      <c r="O51" s="9">
        <f>IF(J51="","",SQRT(Inputs!$B$6^2+(ABS(J51)+Inputs!$B$7/2)^2))</f>
        <v>13134.458077675938</v>
      </c>
      <c r="P51" s="10" t="str">
        <f>IF(A51="","",IF(AND(Math!P49,Math!AF49),"OK","No solution"))</f>
        <v>OK</v>
      </c>
    </row>
    <row r="52" spans="1:16">
      <c r="A52" s="7">
        <f>Math!A50</f>
        <v>-12</v>
      </c>
      <c r="B52" s="8">
        <f>IF(OR(Math!P50=FALSE,Math!A50=""),"",Math!Q50)</f>
        <v>-5.2261393931706976</v>
      </c>
      <c r="C52" s="8">
        <f>IF(OR(Math!AF50=FALSE,Math!A50=""),"",Math!AG50)</f>
        <v>-5.690034382269058</v>
      </c>
      <c r="D52" t="str">
        <f t="shared" si="5"/>
        <v>Right</v>
      </c>
      <c r="E52" s="8">
        <f t="shared" si="6"/>
        <v>5.690034382269058</v>
      </c>
      <c r="F52" s="8">
        <f t="shared" si="7"/>
        <v>5.2261393931706976</v>
      </c>
      <c r="G52" s="8">
        <f>IF(OR(E52="",F52=""),"",IF(OR(ABS(E52)&lt;0.000000001,ABS(F52)&lt;0.000000001),"",((1/TAN(F52*PI()/180))-(1/TAN(E52*PI()/180)))/(Inputs!$B$7/Inputs!$B$6)*100))</f>
        <v>116.54711386115582</v>
      </c>
      <c r="H52" s="9">
        <f>IF(E52="","",Inputs!$B$6/TAN(E52*PI()/180)+Inputs!$B$7/2)</f>
        <v>13547.282459303966</v>
      </c>
      <c r="I52" s="9">
        <f>IF(F52="","",Inputs!$B$6/TAN(F52*PI()/180)-Inputs!$B$7/2)</f>
        <v>13712.753597915524</v>
      </c>
      <c r="J52" s="9">
        <f t="shared" si="8"/>
        <v>13630.018028609746</v>
      </c>
      <c r="K52" s="9">
        <f t="shared" si="9"/>
        <v>165.47113861155776</v>
      </c>
      <c r="L52" s="9">
        <f>IF(OR(B52="",C52="",ABS(SIN(RADIANS(C52-B52)))&lt;0.000000001),"",Inputs!$B$7*SIN(RADIANS(B52))*SIN(RADIANS(C52))/SIN(RADIANS(C52-B52)))</f>
        <v>-1115.4287368700604</v>
      </c>
      <c r="M52" s="9">
        <f>IF(L52="","",-Inputs!$B$7/2*(COS(RADIANS(B52))*SIN(RADIANS(C52))+COS(RADIANS(C52))*SIN(RADIANS(B52)))/SIN(RADIANS(C52-B52)))</f>
        <v>-11694.856763975629</v>
      </c>
      <c r="N52" s="9">
        <f>IF(L52="","",L52+Inputs!$B$6)</f>
        <v>184.57126312993955</v>
      </c>
      <c r="O52" s="9">
        <f>IF(J52="","",SQRT(Inputs!$B$6^2+(ABS(J52)+Inputs!$B$7/2)^2))</f>
        <v>14189.693777134038</v>
      </c>
      <c r="P52" s="10" t="str">
        <f>IF(A52="","",IF(AND(Math!P50,Math!AF50),"OK","No solution"))</f>
        <v>OK</v>
      </c>
    </row>
    <row r="53" spans="1:16">
      <c r="A53" s="7">
        <f>Math!A51</f>
        <v>-11</v>
      </c>
      <c r="B53" s="8">
        <f>IF(OR(Math!P51=FALSE,Math!A51=""),"",Math!Q51)</f>
        <v>-4.8053483362141796</v>
      </c>
      <c r="C53" s="8">
        <f>IF(OR(Math!AF51=FALSE,Math!A51=""),"",Math!AG51)</f>
        <v>-5.1946404938103337</v>
      </c>
      <c r="D53" t="str">
        <f t="shared" si="5"/>
        <v>Right</v>
      </c>
      <c r="E53" s="8">
        <f t="shared" si="6"/>
        <v>5.1946404938103337</v>
      </c>
      <c r="F53" s="8">
        <f t="shared" si="7"/>
        <v>4.8053483362141796</v>
      </c>
      <c r="G53" s="8">
        <f>IF(OR(E53="",F53=""),"",IF(OR(ABS(E53)&lt;0.000000001,ABS(F53)&lt;0.000000001),"",((1/TAN(F53*PI()/180))-(1/TAN(E53*PI()/180)))/(Inputs!$B$7/Inputs!$B$6)*100))</f>
        <v>116.45612216266181</v>
      </c>
      <c r="H53" s="9">
        <f>IF(E53="","",Inputs!$B$6/TAN(E53*PI()/180)+Inputs!$B$7/2)</f>
        <v>14799.414334026738</v>
      </c>
      <c r="I53" s="9">
        <f>IF(F53="","",Inputs!$B$6/TAN(F53*PI()/180)-Inputs!$B$7/2)</f>
        <v>14963.975555653356</v>
      </c>
      <c r="J53" s="9">
        <f t="shared" si="8"/>
        <v>14881.694944840048</v>
      </c>
      <c r="K53" s="9">
        <f t="shared" si="9"/>
        <v>164.56122162661813</v>
      </c>
      <c r="L53" s="9">
        <f>IF(OR(B53="",C53="",ABS(SIN(RADIANS(C53-B53)))&lt;0.000000001),"",Inputs!$B$7*SIN(RADIANS(B53))*SIN(RADIANS(C53))/SIN(RADIANS(C53-B53)))</f>
        <v>-1116.3002647333615</v>
      </c>
      <c r="M53" s="9">
        <f>IF(L53="","",-Inputs!$B$7/2*(COS(RADIANS(B53))*SIN(RADIANS(C53))+COS(RADIANS(C53))*SIN(RADIANS(B53)))/SIN(RADIANS(C53-B53)))</f>
        <v>-12778.800005081594</v>
      </c>
      <c r="N53" s="9">
        <f>IF(L53="","",L53+Inputs!$B$6)</f>
        <v>183.69973526663853</v>
      </c>
      <c r="O53" s="9">
        <f>IF(J53="","",SQRT(Inputs!$B$6^2+(ABS(J53)+Inputs!$B$7/2)^2))</f>
        <v>15436.532621548075</v>
      </c>
      <c r="P53" s="10" t="str">
        <f>IF(A53="","",IF(AND(Math!P51,Math!AF51),"OK","No solution"))</f>
        <v>OK</v>
      </c>
    </row>
    <row r="54" spans="1:16">
      <c r="A54" s="7">
        <f>Math!A52</f>
        <v>-10</v>
      </c>
      <c r="B54" s="8">
        <f>IF(OR(Math!P52=FALSE,Math!A52=""),"",Math!Q52)</f>
        <v>-4.3820839826230813</v>
      </c>
      <c r="C54" s="8">
        <f>IF(OR(Math!AF52=FALSE,Math!A52=""),"",Math!AG52)</f>
        <v>-4.7034305307106115</v>
      </c>
      <c r="D54" t="str">
        <f t="shared" si="5"/>
        <v>Right</v>
      </c>
      <c r="E54" s="8">
        <f t="shared" si="6"/>
        <v>4.7034305307106115</v>
      </c>
      <c r="F54" s="8">
        <f t="shared" si="7"/>
        <v>4.3820839826230813</v>
      </c>
      <c r="G54" s="8">
        <f>IF(OR(E54="",F54=""),"",IF(OR(ABS(E54)&lt;0.000000001,ABS(F54)&lt;0.000000001),"",((1/TAN(F54*PI()/180))-(1/TAN(E54*PI()/180)))/(Inputs!$B$7/Inputs!$B$6)*100))</f>
        <v>116.37328116006836</v>
      </c>
      <c r="H54" s="9">
        <f>IF(E54="","",Inputs!$B$6/TAN(E54*PI()/180)+Inputs!$B$7/2)</f>
        <v>16300.621473550271</v>
      </c>
      <c r="I54" s="9">
        <f>IF(F54="","",Inputs!$B$6/TAN(F54*PI()/180)-Inputs!$B$7/2)</f>
        <v>16464.354285150952</v>
      </c>
      <c r="J54" s="9">
        <f t="shared" si="8"/>
        <v>16382.48787935061</v>
      </c>
      <c r="K54" s="9">
        <f t="shared" si="9"/>
        <v>163.73281160068109</v>
      </c>
      <c r="L54" s="9">
        <f>IF(OR(B54="",C54="",ABS(SIN(RADIANS(C54-B54)))&lt;0.000000001),"",Inputs!$B$7*SIN(RADIANS(B54))*SIN(RADIANS(C54))/SIN(RADIANS(C54-B54)))</f>
        <v>-1117.0949096226711</v>
      </c>
      <c r="M54" s="9">
        <f>IF(L54="","",-Inputs!$B$7/2*(COS(RADIANS(B54))*SIN(RADIANS(C54))+COS(RADIANS(C54))*SIN(RADIANS(B54)))/SIN(RADIANS(C54-B54)))</f>
        <v>-14077.533705367443</v>
      </c>
      <c r="N54" s="9">
        <f>IF(L54="","",L54+Inputs!$B$6)</f>
        <v>182.90509037732886</v>
      </c>
      <c r="O54" s="9">
        <f>IF(J54="","",SQRT(Inputs!$B$6^2+(ABS(J54)+Inputs!$B$7/2)^2))</f>
        <v>16932.465768352235</v>
      </c>
      <c r="P54" s="10" t="str">
        <f>IF(A54="","",IF(AND(Math!P52,Math!AF52),"OK","No solution"))</f>
        <v>OK</v>
      </c>
    </row>
    <row r="55" spans="1:16">
      <c r="A55" s="7">
        <f>Math!A53</f>
        <v>-9</v>
      </c>
      <c r="B55" s="8">
        <f>IF(OR(Math!P53=FALSE,Math!A53=""),"",Math!Q53)</f>
        <v>-3.9562888678213288</v>
      </c>
      <c r="C55" s="8">
        <f>IF(OR(Math!AF53=FALSE,Math!A53=""),"",Math!AG53)</f>
        <v>-4.2163000377466764</v>
      </c>
      <c r="D55" t="str">
        <f t="shared" si="5"/>
        <v>Right</v>
      </c>
      <c r="E55" s="8">
        <f t="shared" si="6"/>
        <v>4.2163000377466764</v>
      </c>
      <c r="F55" s="8">
        <f t="shared" si="7"/>
        <v>3.9562888678213288</v>
      </c>
      <c r="G55" s="8">
        <f>IF(OR(E55="",F55=""),"",IF(OR(ABS(E55)&lt;0.000000001,ABS(F55)&lt;0.000000001),"",((1/TAN(F55*PI()/180))-(1/TAN(E55*PI()/180)))/(Inputs!$B$7/Inputs!$B$6)*100))</f>
        <v>116.29852480675649</v>
      </c>
      <c r="H55" s="9">
        <f>IF(E55="","",Inputs!$B$6/TAN(E55*PI()/180)+Inputs!$B$7/2)</f>
        <v>18133.947683733175</v>
      </c>
      <c r="I55" s="9">
        <f>IF(F55="","",Inputs!$B$6/TAN(F55*PI()/180)-Inputs!$B$7/2)</f>
        <v>18296.932931800744</v>
      </c>
      <c r="J55" s="9">
        <f t="shared" si="8"/>
        <v>18215.440307766959</v>
      </c>
      <c r="K55" s="9">
        <f t="shared" si="9"/>
        <v>162.98524806756905</v>
      </c>
      <c r="L55" s="9">
        <f>IF(OR(B55="",C55="",ABS(SIN(RADIANS(C55-B55)))&lt;0.000000001),"",Inputs!$B$7*SIN(RADIANS(B55))*SIN(RADIANS(C55))/SIN(RADIANS(C55-B55)))</f>
        <v>-1117.8129749797756</v>
      </c>
      <c r="M55" s="9">
        <f>IF(L55="","",-Inputs!$B$7/2*(COS(RADIANS(B55))*SIN(RADIANS(C55))+COS(RADIANS(C55))*SIN(RADIANS(B55)))/SIN(RADIANS(C55-B55)))</f>
        <v>-15662.658093070384</v>
      </c>
      <c r="N55" s="9">
        <f>IF(L55="","",L55+Inputs!$B$6)</f>
        <v>182.18702502022438</v>
      </c>
      <c r="O55" s="9">
        <f>IF(J55="","",SQRT(Inputs!$B$6^2+(ABS(J55)+Inputs!$B$7/2)^2))</f>
        <v>18760.535864244077</v>
      </c>
      <c r="P55" s="10" t="str">
        <f>IF(A55="","",IF(AND(Math!P53,Math!AF53),"OK","No solution"))</f>
        <v>OK</v>
      </c>
    </row>
    <row r="56" spans="1:16">
      <c r="A56" s="7">
        <f>Math!A54</f>
        <v>-8</v>
      </c>
      <c r="B56" s="8">
        <f>IF(OR(Math!P54=FALSE,Math!A54=""),"",Math!Q54)</f>
        <v>-3.5279040725010407</v>
      </c>
      <c r="C56" s="8">
        <f>IF(OR(Math!AF54=FALSE,Math!A54=""),"",Math!AG54)</f>
        <v>-3.7331478794671695</v>
      </c>
      <c r="D56" t="str">
        <f t="shared" si="5"/>
        <v>Right</v>
      </c>
      <c r="E56" s="8">
        <f t="shared" si="6"/>
        <v>3.7331478794671695</v>
      </c>
      <c r="F56" s="8">
        <f t="shared" si="7"/>
        <v>3.5279040725010407</v>
      </c>
      <c r="G56" s="8">
        <f>IF(OR(E56="",F56=""),"",IF(OR(ABS(E56)&lt;0.000000001,ABS(F56)&lt;0.000000001),"",((1/TAN(F56*PI()/180))-(1/TAN(E56*PI()/180)))/(Inputs!$B$7/Inputs!$B$6)*100))</f>
        <v>116.23179384500959</v>
      </c>
      <c r="H56" s="9">
        <f>IF(E56="","",Inputs!$B$6/TAN(E56*PI()/180)+Inputs!$B$7/2)</f>
        <v>20423.95792579402</v>
      </c>
      <c r="I56" s="9">
        <f>IF(F56="","",Inputs!$B$6/TAN(F56*PI()/180)-Inputs!$B$7/2)</f>
        <v>20586.275864244115</v>
      </c>
      <c r="J56" s="9">
        <f t="shared" si="8"/>
        <v>20505.116895019069</v>
      </c>
      <c r="K56" s="9">
        <f t="shared" si="9"/>
        <v>162.31793845009452</v>
      </c>
      <c r="L56" s="9">
        <f>IF(OR(B56="",C56="",ABS(SIN(RADIANS(C56-B56)))&lt;0.000000001),"",Inputs!$B$7*SIN(RADIANS(B56))*SIN(RADIANS(C56))/SIN(RADIANS(C56-B56)))</f>
        <v>-1118.4547334213066</v>
      </c>
      <c r="M56" s="9">
        <f>IF(L56="","",-Inputs!$B$7/2*(COS(RADIANS(B56))*SIN(RADIANS(C56))+COS(RADIANS(C56))*SIN(RADIANS(B56)))/SIN(RADIANS(C56-B56)))</f>
        <v>-17641.573115839445</v>
      </c>
      <c r="N56" s="9">
        <f>IF(L56="","",L56+Inputs!$B$6)</f>
        <v>181.54526657869337</v>
      </c>
      <c r="O56" s="9">
        <f>IF(J56="","",SQRT(Inputs!$B$6^2+(ABS(J56)+Inputs!$B$7/2)^2))</f>
        <v>21045.306739827185</v>
      </c>
      <c r="P56" s="10" t="str">
        <f>IF(A56="","",IF(AND(Math!P54,Math!AF54),"OK","No solution"))</f>
        <v>OK</v>
      </c>
    </row>
    <row r="57" spans="1:16">
      <c r="A57" s="7">
        <f>Math!A55</f>
        <v>-7</v>
      </c>
      <c r="B57" s="8">
        <f>IF(OR(Math!P55=FALSE,Math!A55=""),"",Math!Q55)</f>
        <v>-3.0968691667054373</v>
      </c>
      <c r="C57" s="8">
        <f>IF(OR(Math!AF55=FALSE,Math!A55=""),"",Math!AG55)</f>
        <v>-3.2538760923066783</v>
      </c>
      <c r="D57" t="str">
        <f t="shared" si="5"/>
        <v>Right</v>
      </c>
      <c r="E57" s="8">
        <f t="shared" si="6"/>
        <v>3.2538760923066783</v>
      </c>
      <c r="F57" s="8">
        <f t="shared" si="7"/>
        <v>3.0968691667054373</v>
      </c>
      <c r="G57" s="8">
        <f>IF(OR(E57="",F57=""),"",IF(OR(ABS(E57)&lt;0.000000001,ABS(F57)&lt;0.000000001),"",((1/TAN(F57*PI()/180))-(1/TAN(E57*PI()/180)))/(Inputs!$B$7/Inputs!$B$6)*100))</f>
        <v>116.17303565251973</v>
      </c>
      <c r="H57" s="9">
        <f>IF(E57="","",Inputs!$B$6/TAN(E57*PI()/180)+Inputs!$B$7/2)</f>
        <v>23366.396321363154</v>
      </c>
      <c r="I57" s="9">
        <f>IF(F57="","",Inputs!$B$6/TAN(F57*PI()/180)-Inputs!$B$7/2)</f>
        <v>23528.126677888351</v>
      </c>
      <c r="J57" s="9">
        <f t="shared" si="8"/>
        <v>23447.261499625754</v>
      </c>
      <c r="K57" s="9">
        <f t="shared" si="9"/>
        <v>161.73035652519684</v>
      </c>
      <c r="L57" s="9">
        <f>IF(OR(B57="",C57="",ABS(SIN(RADIANS(C57-B57)))&lt;0.000000001),"",Inputs!$B$7*SIN(RADIANS(B57))*SIN(RADIANS(C57))/SIN(RADIANS(C57-B57)))</f>
        <v>-1119.0204273290908</v>
      </c>
      <c r="M57" s="9">
        <f>IF(L57="","",-Inputs!$B$7/2*(COS(RADIANS(B57))*SIN(RADIANS(C57))+COS(RADIANS(C57))*SIN(RADIANS(B57)))/SIN(RADIANS(C57-B57)))</f>
        <v>-20183.049679237036</v>
      </c>
      <c r="N57" s="9">
        <f>IF(L57="","",L57+Inputs!$B$6)</f>
        <v>180.97957267090919</v>
      </c>
      <c r="O57" s="9">
        <f>IF(J57="","",SQRT(Inputs!$B$6^2+(ABS(J57)+Inputs!$B$7/2)^2))</f>
        <v>23982.521413134567</v>
      </c>
      <c r="P57" s="10" t="str">
        <f>IF(A57="","",IF(AND(Math!P55,Math!AF55),"OK","No solution"))</f>
        <v>OK</v>
      </c>
    </row>
    <row r="58" spans="1:16">
      <c r="A58" s="7">
        <f>Math!A56</f>
        <v>-6</v>
      </c>
      <c r="B58" s="8">
        <f>IF(OR(Math!P56=FALSE,Math!A56=""),"",Math!Q56)</f>
        <v>-2.6631221512956951</v>
      </c>
      <c r="C58" s="8">
        <f>IF(OR(Math!AF56=FALSE,Math!A56=""),"",Math!AG56)</f>
        <v>-2.7783897449434836</v>
      </c>
      <c r="D58" t="str">
        <f t="shared" si="5"/>
        <v>Right</v>
      </c>
      <c r="E58" s="8">
        <f t="shared" si="6"/>
        <v>2.7783897449434836</v>
      </c>
      <c r="F58" s="8">
        <f t="shared" si="7"/>
        <v>2.6631221512956951</v>
      </c>
      <c r="G58" s="8">
        <f>IF(OR(E58="",F58=""),"",IF(OR(ABS(E58)&lt;0.000000001,ABS(F58)&lt;0.000000001),"",((1/TAN(F58*PI()/180))-(1/TAN(E58*PI()/180)))/(Inputs!$B$7/Inputs!$B$6)*100))</f>
        <v>116.12220410683835</v>
      </c>
      <c r="H58" s="9">
        <f>IF(E58="","",Inputs!$B$6/TAN(E58*PI()/180)+Inputs!$B$7/2)</f>
        <v>27287.50216007997</v>
      </c>
      <c r="I58" s="9">
        <f>IF(F58="","",Inputs!$B$6/TAN(F58*PI()/180)-Inputs!$B$7/2)</f>
        <v>27448.72420114835</v>
      </c>
      <c r="J58" s="9">
        <f t="shared" si="8"/>
        <v>27368.11318061416</v>
      </c>
      <c r="K58" s="9">
        <f t="shared" si="9"/>
        <v>161.22204106838035</v>
      </c>
      <c r="L58" s="9">
        <f>IF(OR(B58="",C58="",ABS(SIN(RADIANS(C58-B58)))&lt;0.000000001),"",Inputs!$B$7*SIN(RADIANS(B58))*SIN(RADIANS(C58))/SIN(RADIANS(C58-B58)))</f>
        <v>-1119.5102693744407</v>
      </c>
      <c r="M58" s="9">
        <f>IF(L58="","",-Inputs!$B$7/2*(COS(RADIANS(B58))*SIN(RADIANS(C58))+COS(RADIANS(C58))*SIN(RADIANS(B58)))/SIN(RADIANS(C58-B58)))</f>
        <v>-23568.372122384259</v>
      </c>
      <c r="N58" s="9">
        <f>IF(L58="","",L58+Inputs!$B$6)</f>
        <v>180.48973062555933</v>
      </c>
      <c r="O58" s="9">
        <f>IF(J58="","",SQRT(Inputs!$B$6^2+(ABS(J58)+Inputs!$B$7/2)^2))</f>
        <v>27898.418095790319</v>
      </c>
      <c r="P58" s="10" t="str">
        <f>IF(A58="","",IF(AND(Math!P56,Math!AF56),"OK","No solution"))</f>
        <v>OK</v>
      </c>
    </row>
    <row r="59" spans="1:16">
      <c r="A59" s="7">
        <f>Math!A57</f>
        <v>-5</v>
      </c>
      <c r="B59" s="8">
        <f>IF(OR(Math!P57=FALSE,Math!A57=""),"",Math!Q57)</f>
        <v>-2.2265993966451942</v>
      </c>
      <c r="C59" s="8">
        <f>IF(OR(Math!AF57=FALSE,Math!A57=""),"",Math!AG57)</f>
        <v>-2.3065968063392197</v>
      </c>
      <c r="D59" t="str">
        <f t="shared" si="5"/>
        <v>Right</v>
      </c>
      <c r="E59" s="8">
        <f t="shared" si="6"/>
        <v>2.3065968063392197</v>
      </c>
      <c r="F59" s="8">
        <f t="shared" si="7"/>
        <v>2.2265993966451942</v>
      </c>
      <c r="G59" s="8">
        <f>IF(OR(E59="",F59=""),"",IF(OR(ABS(E59)&lt;0.000000001,ABS(F59)&lt;0.000000001),"",((1/TAN(F59*PI()/180))-(1/TAN(E59*PI()/180)))/(Inputs!$B$7/Inputs!$B$6)*100))</f>
        <v>116.07925946798612</v>
      </c>
      <c r="H59" s="9">
        <f>IF(E59="","",Inputs!$B$6/TAN(E59*PI()/180)+Inputs!$B$7/2)</f>
        <v>32774.505113499654</v>
      </c>
      <c r="I59" s="9">
        <f>IF(F59="","",Inputs!$B$6/TAN(F59*PI()/180)-Inputs!$B$7/2)</f>
        <v>32935.297708179518</v>
      </c>
      <c r="J59" s="9">
        <f t="shared" si="8"/>
        <v>32854.901410839586</v>
      </c>
      <c r="K59" s="9">
        <f t="shared" si="9"/>
        <v>160.79259467986412</v>
      </c>
      <c r="L59" s="9">
        <f>IF(OR(B59="",C59="",ABS(SIN(RADIANS(C59-B59)))&lt;0.000000001),"",Inputs!$B$7*SIN(RADIANS(B59))*SIN(RADIANS(C59))/SIN(RADIANS(C59-B59)))</f>
        <v>-1119.924442969525</v>
      </c>
      <c r="M59" s="9">
        <f>IF(L59="","",-Inputs!$B$7/2*(COS(RADIANS(B59))*SIN(RADIANS(C59))+COS(RADIANS(C59))*SIN(RADIANS(B59)))/SIN(RADIANS(C59-B59)))</f>
        <v>-28303.851662579367</v>
      </c>
      <c r="N59" s="9">
        <f>IF(L59="","",L59+Inputs!$B$6)</f>
        <v>180.07555703047501</v>
      </c>
      <c r="O59" s="9">
        <f>IF(J59="","",SQRT(Inputs!$B$6^2+(ABS(J59)+Inputs!$B$7/2)^2))</f>
        <v>33380.225405572513</v>
      </c>
      <c r="P59" s="10" t="str">
        <f>IF(A59="","",IF(AND(Math!P57,Math!AF57),"OK","No solution"))</f>
        <v>OK</v>
      </c>
    </row>
    <row r="60" spans="1:16">
      <c r="A60" s="7">
        <f>Math!A58</f>
        <v>-4</v>
      </c>
      <c r="B60" s="8">
        <f>IF(OR(Math!P58=FALSE,Math!A58=""),"",Math!Q58)</f>
        <v>-1.7872355783951521</v>
      </c>
      <c r="C60" s="8">
        <f>IF(OR(Math!AF58=FALSE,Math!A58=""),"",Math!AG58)</f>
        <v>-1.8384080209412328</v>
      </c>
      <c r="D60" t="str">
        <f t="shared" si="5"/>
        <v>Right</v>
      </c>
      <c r="E60" s="8">
        <f t="shared" si="6"/>
        <v>1.8384080209412328</v>
      </c>
      <c r="F60" s="8">
        <f t="shared" si="7"/>
        <v>1.7872355783951521</v>
      </c>
      <c r="G60" s="8">
        <f>IF(OR(E60="",F60=""),"",IF(OR(ABS(E60)&lt;0.000000001,ABS(F60)&lt;0.000000001),"",((1/TAN(F60*PI()/180))-(1/TAN(E60*PI()/180)))/(Inputs!$B$7/Inputs!$B$6)*100))</f>
        <v>116.0441682761596</v>
      </c>
      <c r="H60" s="9">
        <f>IF(E60="","",Inputs!$B$6/TAN(E60*PI()/180)+Inputs!$B$7/2)</f>
        <v>41001.863266616187</v>
      </c>
      <c r="I60" s="9">
        <f>IF(F60="","",Inputs!$B$6/TAN(F60*PI()/180)-Inputs!$B$7/2)</f>
        <v>41162.30494937778</v>
      </c>
      <c r="J60" s="9">
        <f t="shared" si="8"/>
        <v>41082.084107996983</v>
      </c>
      <c r="K60" s="9">
        <f t="shared" si="9"/>
        <v>160.44168276159326</v>
      </c>
      <c r="L60" s="9">
        <f>IF(OR(B60="",C60="",ABS(SIN(RADIANS(C60-B60)))&lt;0.000000001),"",Inputs!$B$7*SIN(RADIANS(B60))*SIN(RADIANS(C60))/SIN(RADIANS(C60-B60)))</f>
        <v>-1120.2631026716381</v>
      </c>
      <c r="M60" s="9">
        <f>IF(L60="","",-Inputs!$B$7/2*(COS(RADIANS(B60))*SIN(RADIANS(C60))+COS(RADIANS(C60))*SIN(RADIANS(B60)))/SIN(RADIANS(C60-B60)))</f>
        <v>-35402.110005416842</v>
      </c>
      <c r="N60" s="9">
        <f>IF(L60="","",L60+Inputs!$B$6)</f>
        <v>179.73689732836192</v>
      </c>
      <c r="O60" s="9">
        <f>IF(J60="","",SQRT(Inputs!$B$6^2+(ABS(J60)+Inputs!$B$7/2)^2))</f>
        <v>41602.400396666235</v>
      </c>
      <c r="P60" s="10" t="str">
        <f>IF(A60="","",IF(AND(Math!P58,Math!AF58),"OK","No solution"))</f>
        <v>OK</v>
      </c>
    </row>
    <row r="61" spans="1:16">
      <c r="A61" s="7">
        <f>Math!A59</f>
        <v>-3</v>
      </c>
      <c r="B61" s="8">
        <f>IF(OR(Math!P59=FALSE,Math!A59=""),"",Math!Q59)</f>
        <v>-1.3449636100919371</v>
      </c>
      <c r="C61" s="8">
        <f>IF(OR(Math!AF59=FALSE,Math!A59=""),"",Math!AG59)</f>
        <v>-1.3737367905748343</v>
      </c>
      <c r="D61" t="str">
        <f t="shared" si="5"/>
        <v>Right</v>
      </c>
      <c r="E61" s="8">
        <f t="shared" si="6"/>
        <v>1.3737367905748343</v>
      </c>
      <c r="F61" s="8">
        <f t="shared" si="7"/>
        <v>1.3449636100919371</v>
      </c>
      <c r="G61" s="8">
        <f>IF(OR(E61="",F61=""),"",IF(OR(ABS(E61)&lt;0.000000001,ABS(F61)&lt;0.000000001),"",((1/TAN(F61*PI()/180))-(1/TAN(E61*PI()/180)))/(Inputs!$B$7/Inputs!$B$6)*100))</f>
        <v>116.0169032712472</v>
      </c>
      <c r="H61" s="9">
        <f>IF(E61="","",Inputs!$B$6/TAN(E61*PI()/180)+Inputs!$B$7/2)</f>
        <v>54709.9772083141</v>
      </c>
      <c r="I61" s="9">
        <f>IF(F61="","",Inputs!$B$6/TAN(F61*PI()/180)-Inputs!$B$7/2)</f>
        <v>54870.146241026567</v>
      </c>
      <c r="J61" s="9">
        <f t="shared" si="8"/>
        <v>54790.061724670333</v>
      </c>
      <c r="K61" s="9">
        <f t="shared" si="9"/>
        <v>160.16903271246701</v>
      </c>
      <c r="L61" s="9">
        <f>IF(OR(B61="",C61="",ABS(SIN(RADIANS(C61-B61)))&lt;0.000000001),"",Inputs!$B$7*SIN(RADIANS(B61))*SIN(RADIANS(C61))/SIN(RADIANS(C61-B61)))</f>
        <v>-1120.5263744720157</v>
      </c>
      <c r="M61" s="9">
        <f>IF(L61="","",-Inputs!$B$7/2*(COS(RADIANS(B61))*SIN(RADIANS(C61))+COS(RADIANS(C61))*SIN(RADIANS(B61)))/SIN(RADIANS(C61-B61)))</f>
        <v>-47225.930170340616</v>
      </c>
      <c r="N61" s="9">
        <f>IF(L61="","",L61+Inputs!$B$6)</f>
        <v>179.47362552798427</v>
      </c>
      <c r="O61" s="9">
        <f>IF(J61="","",SQRT(Inputs!$B$6^2+(ABS(J61)+Inputs!$B$7/2)^2))</f>
        <v>55305.342648950791</v>
      </c>
      <c r="P61" s="10" t="str">
        <f>IF(A61="","",IF(AND(Math!P59,Math!AF59),"OK","No solution"))</f>
        <v>OK</v>
      </c>
    </row>
    <row r="62" spans="1:16">
      <c r="A62" s="7">
        <f>Math!A60</f>
        <v>-2</v>
      </c>
      <c r="B62" s="8">
        <f>IF(OR(Math!P60=FALSE,Math!A60=""),"",Math!Q60)</f>
        <v>-0.89971457251734477</v>
      </c>
      <c r="C62" s="8">
        <f>IF(OR(Math!AF60=FALSE,Math!A60=""),"",Math!AG60)</f>
        <v>-0.91249906257997337</v>
      </c>
      <c r="D62" t="str">
        <f t="shared" si="5"/>
        <v>Right</v>
      </c>
      <c r="E62" s="8">
        <f t="shared" si="6"/>
        <v>0.91249906257997337</v>
      </c>
      <c r="F62" s="8">
        <f t="shared" si="7"/>
        <v>0.89971457251734477</v>
      </c>
      <c r="G62" s="8">
        <f>IF(OR(E62="",F62=""),"",IF(OR(ABS(E62)&lt;0.000000001,ABS(F62)&lt;0.000000001),"",((1/TAN(F62*PI()/180))-(1/TAN(E62*PI()/180)))/(Inputs!$B$7/Inputs!$B$6)*100))</f>
        <v>115.99744331631825</v>
      </c>
      <c r="H62" s="9">
        <f>IF(E62="","",Inputs!$B$6/TAN(E62*PI()/180)+Inputs!$B$7/2)</f>
        <v>82120.046387631155</v>
      </c>
      <c r="I62" s="9">
        <f>IF(F62="","",Inputs!$B$6/TAN(F62*PI()/180)-Inputs!$B$7/2)</f>
        <v>82280.020820794321</v>
      </c>
      <c r="J62" s="9">
        <f t="shared" si="8"/>
        <v>82200.033604212746</v>
      </c>
      <c r="K62" s="9">
        <f t="shared" si="9"/>
        <v>159.9744331631664</v>
      </c>
      <c r="L62" s="9">
        <f>IF(OR(B62="",C62="",ABS(SIN(RADIANS(C62-B62)))&lt;0.000000001),"",Inputs!$B$7*SIN(RADIANS(B62))*SIN(RADIANS(C62))/SIN(RADIANS(C62-B62)))</f>
        <v>-1120.7143561388548</v>
      </c>
      <c r="M62" s="9">
        <f>IF(L62="","",-Inputs!$B$7/2*(COS(RADIANS(B62))*SIN(RADIANS(C62))+COS(RADIANS(C62))*SIN(RADIANS(B62)))/SIN(RADIANS(C62-B62)))</f>
        <v>-70863.659796413456</v>
      </c>
      <c r="N62" s="9">
        <f>IF(L62="","",L62+Inputs!$B$6)</f>
        <v>179.28564386114522</v>
      </c>
      <c r="O62" s="9">
        <f>IF(J62="","",SQRT(Inputs!$B$6^2+(ABS(J62)+Inputs!$B$7/2)^2))</f>
        <v>82710.250623111511</v>
      </c>
      <c r="P62" s="10" t="str">
        <f>IF(A62="","",IF(AND(Math!P60,Math!AF60),"OK","No solution"))</f>
        <v>OK</v>
      </c>
    </row>
    <row r="63" spans="1:16">
      <c r="A63" s="7">
        <f>Math!A61</f>
        <v>-1</v>
      </c>
      <c r="B63" s="8">
        <f>IF(OR(Math!P61=FALSE,Math!A61=""),"",Math!Q61)</f>
        <v>-0.45141763950069763</v>
      </c>
      <c r="C63" s="8">
        <f>IF(OR(Math!AF61=FALSE,Math!A61=""),"",Math!AG61)</f>
        <v>-0.45461322379416419</v>
      </c>
      <c r="D63" t="str">
        <f t="shared" si="5"/>
        <v>Right</v>
      </c>
      <c r="E63" s="8">
        <f t="shared" si="6"/>
        <v>0.45461322379416419</v>
      </c>
      <c r="F63" s="8">
        <f t="shared" si="7"/>
        <v>0.45141763950069763</v>
      </c>
      <c r="G63" s="8">
        <f>IF(OR(E63="",F63=""),"",IF(OR(ABS(E63)&lt;0.000000001,ABS(F63)&lt;0.000000001),"",((1/TAN(F63*PI()/180))-(1/TAN(E63*PI()/180)))/(Inputs!$B$7/Inputs!$B$6)*100))</f>
        <v>115.98577336769849</v>
      </c>
      <c r="H63" s="9">
        <f>IF(E63="","",Inputs!$B$6/TAN(E63*PI()/180)+Inputs!$B$7/2)</f>
        <v>164338.06359662098</v>
      </c>
      <c r="I63" s="9">
        <f>IF(F63="","",Inputs!$B$6/TAN(F63*PI()/180)-Inputs!$B$7/2)</f>
        <v>164497.92133029795</v>
      </c>
      <c r="J63" s="9">
        <f t="shared" si="8"/>
        <v>164417.99246345946</v>
      </c>
      <c r="K63" s="9">
        <f t="shared" si="9"/>
        <v>159.85773367696675</v>
      </c>
      <c r="L63" s="9">
        <f>IF(OR(B63="",C63="",ABS(SIN(RADIANS(C63-B63)))&lt;0.000000001),"",Inputs!$B$7*SIN(RADIANS(B63))*SIN(RADIANS(C63))/SIN(RADIANS(C63-B63)))</f>
        <v>-1120.8271172005877</v>
      </c>
      <c r="M63" s="9">
        <f>IF(L63="","",-Inputs!$B$7/2*(COS(RADIANS(B63))*SIN(RADIANS(C63))+COS(RADIANS(C63))*SIN(RADIANS(B63)))/SIN(RADIANS(C63-B63)))</f>
        <v>-141757.03423748253</v>
      </c>
      <c r="N63" s="9">
        <f>IF(L63="","",L63+Inputs!$B$6)</f>
        <v>179.17288279941226</v>
      </c>
      <c r="O63" s="9">
        <f>IF(J63="","",SQRT(Inputs!$B$6^2+(ABS(J63)+Inputs!$B$7/2)^2))</f>
        <v>164923.11614257618</v>
      </c>
      <c r="P63" s="10" t="str">
        <f>IF(A63="","",IF(AND(Math!P61,Math!AF61),"OK","No solution"))</f>
        <v>OK</v>
      </c>
    </row>
    <row r="64" spans="1:16">
      <c r="A64" s="7">
        <f>Math!A62</f>
        <v>0</v>
      </c>
      <c r="B64" s="8">
        <f>IF(OR(Math!P62=FALSE,Math!A62=""),"",Math!Q62)</f>
        <v>0</v>
      </c>
      <c r="C64" s="8">
        <f>IF(OR(Math!AF62=FALSE,Math!A62=""),"",Math!AG62)</f>
        <v>0</v>
      </c>
      <c r="D64" t="str">
        <f t="shared" si="5"/>
        <v>Straight</v>
      </c>
      <c r="E64" s="8" t="str">
        <f t="shared" si="6"/>
        <v/>
      </c>
      <c r="F64" s="8" t="str">
        <f t="shared" si="7"/>
        <v/>
      </c>
      <c r="G64" s="8" t="str">
        <f>IF(OR(E64="",F64=""),"",IF(OR(ABS(E64)&lt;0.000000001,ABS(F64)&lt;0.000000001),"",((1/TAN(F64*PI()/180))-(1/TAN(E64*PI()/180)))/(Inputs!$B$7/Inputs!$B$6)*100))</f>
        <v/>
      </c>
      <c r="H64" s="9" t="str">
        <f>IF(E64="","",Inputs!$B$6/TAN(E64*PI()/180)+Inputs!$B$7/2)</f>
        <v/>
      </c>
      <c r="I64" s="9" t="str">
        <f>IF(F64="","",Inputs!$B$6/TAN(F64*PI()/180)-Inputs!$B$7/2)</f>
        <v/>
      </c>
      <c r="J64" s="9" t="str">
        <f t="shared" si="8"/>
        <v/>
      </c>
      <c r="K64" s="9" t="str">
        <f t="shared" si="9"/>
        <v/>
      </c>
      <c r="L64" s="9" t="str">
        <f>IF(OR(B64="",C64="",ABS(SIN(RADIANS(C64-B64)))&lt;0.000000001),"",Inputs!$B$7*SIN(RADIANS(B64))*SIN(RADIANS(C64))/SIN(RADIANS(C64-B64)))</f>
        <v/>
      </c>
      <c r="M64" s="9" t="str">
        <f>IF(L64="","",-Inputs!$B$7/2*(COS(RADIANS(B64))*SIN(RADIANS(C64))+COS(RADIANS(C64))*SIN(RADIANS(B64)))/SIN(RADIANS(C64-B64)))</f>
        <v/>
      </c>
      <c r="N64" s="9" t="str">
        <f>IF(L64="","",L64+Inputs!$B$6)</f>
        <v/>
      </c>
      <c r="O64" s="9" t="str">
        <f>IF(J64="","",SQRT(Inputs!$B$6^2+(ABS(J64)+Inputs!$B$7/2)^2))</f>
        <v/>
      </c>
      <c r="P64" s="10" t="str">
        <f>IF(A64="","",IF(AND(Math!P62,Math!AF62),"OK","No solution"))</f>
        <v>OK</v>
      </c>
    </row>
    <row r="65" spans="1:16">
      <c r="A65" s="7">
        <f>Math!A63</f>
        <v>1</v>
      </c>
      <c r="B65" s="8">
        <f>IF(OR(Math!P63=FALSE,Math!A63=""),"",Math!Q63)</f>
        <v>0.45461322379416419</v>
      </c>
      <c r="C65" s="8">
        <f>IF(OR(Math!AF63=FALSE,Math!A63=""),"",Math!AG63)</f>
        <v>0.45141763950069763</v>
      </c>
      <c r="D65" t="str">
        <f t="shared" si="5"/>
        <v>Left</v>
      </c>
      <c r="E65" s="8">
        <f t="shared" si="6"/>
        <v>0.45461322379416419</v>
      </c>
      <c r="F65" s="8">
        <f t="shared" si="7"/>
        <v>0.45141763950069763</v>
      </c>
      <c r="G65" s="8">
        <f>IF(OR(E65="",F65=""),"",IF(OR(ABS(E65)&lt;0.000000001,ABS(F65)&lt;0.000000001),"",((1/TAN(F65*PI()/180))-(1/TAN(E65*PI()/180)))/(Inputs!$B$7/Inputs!$B$6)*100))</f>
        <v>115.98577336769849</v>
      </c>
      <c r="H65" s="9">
        <f>IF(E65="","",Inputs!$B$6/TAN(E65*PI()/180)+Inputs!$B$7/2)</f>
        <v>164338.06359662098</v>
      </c>
      <c r="I65" s="9">
        <f>IF(F65="","",Inputs!$B$6/TAN(F65*PI()/180)-Inputs!$B$7/2)</f>
        <v>164497.92133029795</v>
      </c>
      <c r="J65" s="9">
        <f t="shared" si="8"/>
        <v>164417.99246345946</v>
      </c>
      <c r="K65" s="9">
        <f t="shared" si="9"/>
        <v>159.85773367696675</v>
      </c>
      <c r="L65" s="9">
        <f>IF(OR(B65="",C65="",ABS(SIN(RADIANS(C65-B65)))&lt;0.000000001),"",Inputs!$B$7*SIN(RADIANS(B65))*SIN(RADIANS(C65))/SIN(RADIANS(C65-B65)))</f>
        <v>-1120.8271172005877</v>
      </c>
      <c r="M65" s="9">
        <f>IF(L65="","",-Inputs!$B$7/2*(COS(RADIANS(B65))*SIN(RADIANS(C65))+COS(RADIANS(C65))*SIN(RADIANS(B65)))/SIN(RADIANS(C65-B65)))</f>
        <v>141757.03423748253</v>
      </c>
      <c r="N65" s="9">
        <f>IF(L65="","",L65+Inputs!$B$6)</f>
        <v>179.17288279941226</v>
      </c>
      <c r="O65" s="9">
        <f>IF(J65="","",SQRT(Inputs!$B$6^2+(ABS(J65)+Inputs!$B$7/2)^2))</f>
        <v>164923.11614257618</v>
      </c>
      <c r="P65" s="10" t="str">
        <f>IF(A65="","",IF(AND(Math!P63,Math!AF63),"OK","No solution"))</f>
        <v>OK</v>
      </c>
    </row>
    <row r="66" spans="1:16">
      <c r="A66" s="7">
        <f>Math!A64</f>
        <v>2</v>
      </c>
      <c r="B66" s="8">
        <f>IF(OR(Math!P64=FALSE,Math!A64=""),"",Math!Q64)</f>
        <v>0.91249906257997337</v>
      </c>
      <c r="C66" s="8">
        <f>IF(OR(Math!AF64=FALSE,Math!A64=""),"",Math!AG64)</f>
        <v>0.89971457251734477</v>
      </c>
      <c r="D66" t="str">
        <f t="shared" si="5"/>
        <v>Left</v>
      </c>
      <c r="E66" s="8">
        <f t="shared" si="6"/>
        <v>0.91249906257997337</v>
      </c>
      <c r="F66" s="8">
        <f t="shared" si="7"/>
        <v>0.89971457251734477</v>
      </c>
      <c r="G66" s="8">
        <f>IF(OR(E66="",F66=""),"",IF(OR(ABS(E66)&lt;0.000000001,ABS(F66)&lt;0.000000001),"",((1/TAN(F66*PI()/180))-(1/TAN(E66*PI()/180)))/(Inputs!$B$7/Inputs!$B$6)*100))</f>
        <v>115.99744331631825</v>
      </c>
      <c r="H66" s="9">
        <f>IF(E66="","",Inputs!$B$6/TAN(E66*PI()/180)+Inputs!$B$7/2)</f>
        <v>82120.046387631155</v>
      </c>
      <c r="I66" s="9">
        <f>IF(F66="","",Inputs!$B$6/TAN(F66*PI()/180)-Inputs!$B$7/2)</f>
        <v>82280.020820794321</v>
      </c>
      <c r="J66" s="9">
        <f t="shared" si="8"/>
        <v>82200.033604212746</v>
      </c>
      <c r="K66" s="9">
        <f t="shared" si="9"/>
        <v>159.9744331631664</v>
      </c>
      <c r="L66" s="9">
        <f>IF(OR(B66="",C66="",ABS(SIN(RADIANS(C66-B66)))&lt;0.000000001),"",Inputs!$B$7*SIN(RADIANS(B66))*SIN(RADIANS(C66))/SIN(RADIANS(C66-B66)))</f>
        <v>-1120.7143561388548</v>
      </c>
      <c r="M66" s="9">
        <f>IF(L66="","",-Inputs!$B$7/2*(COS(RADIANS(B66))*SIN(RADIANS(C66))+COS(RADIANS(C66))*SIN(RADIANS(B66)))/SIN(RADIANS(C66-B66)))</f>
        <v>70863.659796413456</v>
      </c>
      <c r="N66" s="9">
        <f>IF(L66="","",L66+Inputs!$B$6)</f>
        <v>179.28564386114522</v>
      </c>
      <c r="O66" s="9">
        <f>IF(J66="","",SQRT(Inputs!$B$6^2+(ABS(J66)+Inputs!$B$7/2)^2))</f>
        <v>82710.250623111511</v>
      </c>
      <c r="P66" s="10" t="str">
        <f>IF(A66="","",IF(AND(Math!P64,Math!AF64),"OK","No solution"))</f>
        <v>OK</v>
      </c>
    </row>
    <row r="67" spans="1:16">
      <c r="A67" s="7">
        <f>Math!A65</f>
        <v>3</v>
      </c>
      <c r="B67" s="8">
        <f>IF(OR(Math!P65=FALSE,Math!A65=""),"",Math!Q65)</f>
        <v>1.3737367905748343</v>
      </c>
      <c r="C67" s="8">
        <f>IF(OR(Math!AF65=FALSE,Math!A65=""),"",Math!AG65)</f>
        <v>1.3449636100919371</v>
      </c>
      <c r="D67" t="str">
        <f t="shared" si="5"/>
        <v>Left</v>
      </c>
      <c r="E67" s="8">
        <f t="shared" si="6"/>
        <v>1.3737367905748343</v>
      </c>
      <c r="F67" s="8">
        <f t="shared" si="7"/>
        <v>1.3449636100919371</v>
      </c>
      <c r="G67" s="8">
        <f>IF(OR(E67="",F67=""),"",IF(OR(ABS(E67)&lt;0.000000001,ABS(F67)&lt;0.000000001),"",((1/TAN(F67*PI()/180))-(1/TAN(E67*PI()/180)))/(Inputs!$B$7/Inputs!$B$6)*100))</f>
        <v>116.0169032712472</v>
      </c>
      <c r="H67" s="9">
        <f>IF(E67="","",Inputs!$B$6/TAN(E67*PI()/180)+Inputs!$B$7/2)</f>
        <v>54709.9772083141</v>
      </c>
      <c r="I67" s="9">
        <f>IF(F67="","",Inputs!$B$6/TAN(F67*PI()/180)-Inputs!$B$7/2)</f>
        <v>54870.146241026567</v>
      </c>
      <c r="J67" s="9">
        <f t="shared" si="8"/>
        <v>54790.061724670333</v>
      </c>
      <c r="K67" s="9">
        <f t="shared" si="9"/>
        <v>160.16903271246701</v>
      </c>
      <c r="L67" s="9">
        <f>IF(OR(B67="",C67="",ABS(SIN(RADIANS(C67-B67)))&lt;0.000000001),"",Inputs!$B$7*SIN(RADIANS(B67))*SIN(RADIANS(C67))/SIN(RADIANS(C67-B67)))</f>
        <v>-1120.5263744720157</v>
      </c>
      <c r="M67" s="9">
        <f>IF(L67="","",-Inputs!$B$7/2*(COS(RADIANS(B67))*SIN(RADIANS(C67))+COS(RADIANS(C67))*SIN(RADIANS(B67)))/SIN(RADIANS(C67-B67)))</f>
        <v>47225.930170340616</v>
      </c>
      <c r="N67" s="9">
        <f>IF(L67="","",L67+Inputs!$B$6)</f>
        <v>179.47362552798427</v>
      </c>
      <c r="O67" s="9">
        <f>IF(J67="","",SQRT(Inputs!$B$6^2+(ABS(J67)+Inputs!$B$7/2)^2))</f>
        <v>55305.342648950791</v>
      </c>
      <c r="P67" s="10" t="str">
        <f>IF(A67="","",IF(AND(Math!P65,Math!AF65),"OK","No solution"))</f>
        <v>OK</v>
      </c>
    </row>
    <row r="68" spans="1:16">
      <c r="A68" s="7">
        <f>Math!A66</f>
        <v>4</v>
      </c>
      <c r="B68" s="8">
        <f>IF(OR(Math!P66=FALSE,Math!A66=""),"",Math!Q66)</f>
        <v>1.8384080209412328</v>
      </c>
      <c r="C68" s="8">
        <f>IF(OR(Math!AF66=FALSE,Math!A66=""),"",Math!AG66)</f>
        <v>1.7872355783951521</v>
      </c>
      <c r="D68" t="str">
        <f t="shared" ref="D68:D99" si="10">IF(OR(B68="",C68=""),"",IF(ABS((B68+C68)/2)&lt;0.0001,"Straight",IF((B68+C68)/2&gt;0,"Left","Right")))</f>
        <v>Left</v>
      </c>
      <c r="E68" s="8">
        <f t="shared" ref="E68:E99" si="11">IF(OR(B68="",C68="",D68="Straight"),"",IF(D68="Left",ABS(B68),ABS(C68)))</f>
        <v>1.8384080209412328</v>
      </c>
      <c r="F68" s="8">
        <f t="shared" ref="F68:F104" si="12">IF(OR(B68="",C68="",D68="Straight"),"",IF(D68="Left",ABS(C68),ABS(B68)))</f>
        <v>1.7872355783951521</v>
      </c>
      <c r="G68" s="8">
        <f>IF(OR(E68="",F68=""),"",IF(OR(ABS(E68)&lt;0.000000001,ABS(F68)&lt;0.000000001),"",((1/TAN(F68*PI()/180))-(1/TAN(E68*PI()/180)))/(Inputs!$B$7/Inputs!$B$6)*100))</f>
        <v>116.0441682761596</v>
      </c>
      <c r="H68" s="9">
        <f>IF(E68="","",Inputs!$B$6/TAN(E68*PI()/180)+Inputs!$B$7/2)</f>
        <v>41001.863266616187</v>
      </c>
      <c r="I68" s="9">
        <f>IF(F68="","",Inputs!$B$6/TAN(F68*PI()/180)-Inputs!$B$7/2)</f>
        <v>41162.30494937778</v>
      </c>
      <c r="J68" s="9">
        <f t="shared" ref="J68:J99" si="13">IF(OR(H68="",I68=""),"",AVERAGE(H68,I68))</f>
        <v>41082.084107996983</v>
      </c>
      <c r="K68" s="9">
        <f t="shared" ref="K68:K104" si="14">IF(OR(H68="",I68=""),"",I68-H68)</f>
        <v>160.44168276159326</v>
      </c>
      <c r="L68" s="9">
        <f>IF(OR(B68="",C68="",ABS(SIN(RADIANS(C68-B68)))&lt;0.000000001),"",Inputs!$B$7*SIN(RADIANS(B68))*SIN(RADIANS(C68))/SIN(RADIANS(C68-B68)))</f>
        <v>-1120.2631026716381</v>
      </c>
      <c r="M68" s="9">
        <f>IF(L68="","",-Inputs!$B$7/2*(COS(RADIANS(B68))*SIN(RADIANS(C68))+COS(RADIANS(C68))*SIN(RADIANS(B68)))/SIN(RADIANS(C68-B68)))</f>
        <v>35402.110005416842</v>
      </c>
      <c r="N68" s="9">
        <f>IF(L68="","",L68+Inputs!$B$6)</f>
        <v>179.73689732836192</v>
      </c>
      <c r="O68" s="9">
        <f>IF(J68="","",SQRT(Inputs!$B$6^2+(ABS(J68)+Inputs!$B$7/2)^2))</f>
        <v>41602.400396666235</v>
      </c>
      <c r="P68" s="10" t="str">
        <f>IF(A68="","",IF(AND(Math!P66,Math!AF66),"OK","No solution"))</f>
        <v>OK</v>
      </c>
    </row>
    <row r="69" spans="1:16">
      <c r="A69" s="7">
        <f>Math!A67</f>
        <v>5</v>
      </c>
      <c r="B69" s="8">
        <f>IF(OR(Math!P67=FALSE,Math!A67=""),"",Math!Q67)</f>
        <v>2.3065968063392197</v>
      </c>
      <c r="C69" s="8">
        <f>IF(OR(Math!AF67=FALSE,Math!A67=""),"",Math!AG67)</f>
        <v>2.2265993966451942</v>
      </c>
      <c r="D69" t="str">
        <f t="shared" si="10"/>
        <v>Left</v>
      </c>
      <c r="E69" s="8">
        <f t="shared" si="11"/>
        <v>2.3065968063392197</v>
      </c>
      <c r="F69" s="8">
        <f t="shared" si="12"/>
        <v>2.2265993966451942</v>
      </c>
      <c r="G69" s="8">
        <f>IF(OR(E69="",F69=""),"",IF(OR(ABS(E69)&lt;0.000000001,ABS(F69)&lt;0.000000001),"",((1/TAN(F69*PI()/180))-(1/TAN(E69*PI()/180)))/(Inputs!$B$7/Inputs!$B$6)*100))</f>
        <v>116.07925946798612</v>
      </c>
      <c r="H69" s="9">
        <f>IF(E69="","",Inputs!$B$6/TAN(E69*PI()/180)+Inputs!$B$7/2)</f>
        <v>32774.505113499654</v>
      </c>
      <c r="I69" s="9">
        <f>IF(F69="","",Inputs!$B$6/TAN(F69*PI()/180)-Inputs!$B$7/2)</f>
        <v>32935.297708179518</v>
      </c>
      <c r="J69" s="9">
        <f t="shared" si="13"/>
        <v>32854.901410839586</v>
      </c>
      <c r="K69" s="9">
        <f t="shared" si="14"/>
        <v>160.79259467986412</v>
      </c>
      <c r="L69" s="9">
        <f>IF(OR(B69="",C69="",ABS(SIN(RADIANS(C69-B69)))&lt;0.000000001),"",Inputs!$B$7*SIN(RADIANS(B69))*SIN(RADIANS(C69))/SIN(RADIANS(C69-B69)))</f>
        <v>-1119.9244429695248</v>
      </c>
      <c r="M69" s="9">
        <f>IF(L69="","",-Inputs!$B$7/2*(COS(RADIANS(B69))*SIN(RADIANS(C69))+COS(RADIANS(C69))*SIN(RADIANS(B69)))/SIN(RADIANS(C69-B69)))</f>
        <v>28303.851662579367</v>
      </c>
      <c r="N69" s="9">
        <f>IF(L69="","",L69+Inputs!$B$6)</f>
        <v>180.07555703047524</v>
      </c>
      <c r="O69" s="9">
        <f>IF(J69="","",SQRT(Inputs!$B$6^2+(ABS(J69)+Inputs!$B$7/2)^2))</f>
        <v>33380.225405572513</v>
      </c>
      <c r="P69" s="10" t="str">
        <f>IF(A69="","",IF(AND(Math!P67,Math!AF67),"OK","No solution"))</f>
        <v>OK</v>
      </c>
    </row>
    <row r="70" spans="1:16">
      <c r="A70" s="7">
        <f>Math!A68</f>
        <v>6</v>
      </c>
      <c r="B70" s="8">
        <f>IF(OR(Math!P68=FALSE,Math!A68=""),"",Math!Q68)</f>
        <v>2.7783897449434836</v>
      </c>
      <c r="C70" s="8">
        <f>IF(OR(Math!AF68=FALSE,Math!A68=""),"",Math!AG68)</f>
        <v>2.6631221512956951</v>
      </c>
      <c r="D70" t="str">
        <f t="shared" si="10"/>
        <v>Left</v>
      </c>
      <c r="E70" s="8">
        <f t="shared" si="11"/>
        <v>2.7783897449434836</v>
      </c>
      <c r="F70" s="8">
        <f t="shared" si="12"/>
        <v>2.6631221512956951</v>
      </c>
      <c r="G70" s="8">
        <f>IF(OR(E70="",F70=""),"",IF(OR(ABS(E70)&lt;0.000000001,ABS(F70)&lt;0.000000001),"",((1/TAN(F70*PI()/180))-(1/TAN(E70*PI()/180)))/(Inputs!$B$7/Inputs!$B$6)*100))</f>
        <v>116.12220410683835</v>
      </c>
      <c r="H70" s="9">
        <f>IF(E70="","",Inputs!$B$6/TAN(E70*PI()/180)+Inputs!$B$7/2)</f>
        <v>27287.50216007997</v>
      </c>
      <c r="I70" s="9">
        <f>IF(F70="","",Inputs!$B$6/TAN(F70*PI()/180)-Inputs!$B$7/2)</f>
        <v>27448.72420114835</v>
      </c>
      <c r="J70" s="9">
        <f t="shared" si="13"/>
        <v>27368.11318061416</v>
      </c>
      <c r="K70" s="9">
        <f t="shared" si="14"/>
        <v>161.22204106838035</v>
      </c>
      <c r="L70" s="9">
        <f>IF(OR(B70="",C70="",ABS(SIN(RADIANS(C70-B70)))&lt;0.000000001),"",Inputs!$B$7*SIN(RADIANS(B70))*SIN(RADIANS(C70))/SIN(RADIANS(C70-B70)))</f>
        <v>-1119.5102693744407</v>
      </c>
      <c r="M70" s="9">
        <f>IF(L70="","",-Inputs!$B$7/2*(COS(RADIANS(B70))*SIN(RADIANS(C70))+COS(RADIANS(C70))*SIN(RADIANS(B70)))/SIN(RADIANS(C70-B70)))</f>
        <v>23568.372122384259</v>
      </c>
      <c r="N70" s="9">
        <f>IF(L70="","",L70+Inputs!$B$6)</f>
        <v>180.48973062555933</v>
      </c>
      <c r="O70" s="9">
        <f>IF(J70="","",SQRT(Inputs!$B$6^2+(ABS(J70)+Inputs!$B$7/2)^2))</f>
        <v>27898.418095790319</v>
      </c>
      <c r="P70" s="10" t="str">
        <f>IF(A70="","",IF(AND(Math!P68,Math!AF68),"OK","No solution"))</f>
        <v>OK</v>
      </c>
    </row>
    <row r="71" spans="1:16">
      <c r="A71" s="7">
        <f>Math!A69</f>
        <v>7</v>
      </c>
      <c r="B71" s="8">
        <f>IF(OR(Math!P69=FALSE,Math!A69=""),"",Math!Q69)</f>
        <v>3.2538760923066783</v>
      </c>
      <c r="C71" s="8">
        <f>IF(OR(Math!AF69=FALSE,Math!A69=""),"",Math!AG69)</f>
        <v>3.0968691667054373</v>
      </c>
      <c r="D71" t="str">
        <f t="shared" si="10"/>
        <v>Left</v>
      </c>
      <c r="E71" s="8">
        <f t="shared" si="11"/>
        <v>3.2538760923066783</v>
      </c>
      <c r="F71" s="8">
        <f t="shared" si="12"/>
        <v>3.0968691667054373</v>
      </c>
      <c r="G71" s="8">
        <f>IF(OR(E71="",F71=""),"",IF(OR(ABS(E71)&lt;0.000000001,ABS(F71)&lt;0.000000001),"",((1/TAN(F71*PI()/180))-(1/TAN(E71*PI()/180)))/(Inputs!$B$7/Inputs!$B$6)*100))</f>
        <v>116.17303565251973</v>
      </c>
      <c r="H71" s="9">
        <f>IF(E71="","",Inputs!$B$6/TAN(E71*PI()/180)+Inputs!$B$7/2)</f>
        <v>23366.396321363154</v>
      </c>
      <c r="I71" s="9">
        <f>IF(F71="","",Inputs!$B$6/TAN(F71*PI()/180)-Inputs!$B$7/2)</f>
        <v>23528.126677888351</v>
      </c>
      <c r="J71" s="9">
        <f t="shared" si="13"/>
        <v>23447.261499625754</v>
      </c>
      <c r="K71" s="9">
        <f t="shared" si="14"/>
        <v>161.73035652519684</v>
      </c>
      <c r="L71" s="9">
        <f>IF(OR(B71="",C71="",ABS(SIN(RADIANS(C71-B71)))&lt;0.000000001),"",Inputs!$B$7*SIN(RADIANS(B71))*SIN(RADIANS(C71))/SIN(RADIANS(C71-B71)))</f>
        <v>-1119.0204273290908</v>
      </c>
      <c r="M71" s="9">
        <f>IF(L71="","",-Inputs!$B$7/2*(COS(RADIANS(B71))*SIN(RADIANS(C71))+COS(RADIANS(C71))*SIN(RADIANS(B71)))/SIN(RADIANS(C71-B71)))</f>
        <v>20183.049679237036</v>
      </c>
      <c r="N71" s="9">
        <f>IF(L71="","",L71+Inputs!$B$6)</f>
        <v>180.97957267090919</v>
      </c>
      <c r="O71" s="9">
        <f>IF(J71="","",SQRT(Inputs!$B$6^2+(ABS(J71)+Inputs!$B$7/2)^2))</f>
        <v>23982.521413134567</v>
      </c>
      <c r="P71" s="10" t="str">
        <f>IF(A71="","",IF(AND(Math!P69,Math!AF69),"OK","No solution"))</f>
        <v>OK</v>
      </c>
    </row>
    <row r="72" spans="1:16">
      <c r="A72" s="7">
        <f>Math!A70</f>
        <v>8</v>
      </c>
      <c r="B72" s="8">
        <f>IF(OR(Math!P70=FALSE,Math!A70=""),"",Math!Q70)</f>
        <v>3.7331478794671695</v>
      </c>
      <c r="C72" s="8">
        <f>IF(OR(Math!AF70=FALSE,Math!A70=""),"",Math!AG70)</f>
        <v>3.5279040725010407</v>
      </c>
      <c r="D72" t="str">
        <f t="shared" si="10"/>
        <v>Left</v>
      </c>
      <c r="E72" s="8">
        <f t="shared" si="11"/>
        <v>3.7331478794671695</v>
      </c>
      <c r="F72" s="8">
        <f t="shared" si="12"/>
        <v>3.5279040725010407</v>
      </c>
      <c r="G72" s="8">
        <f>IF(OR(E72="",F72=""),"",IF(OR(ABS(E72)&lt;0.000000001,ABS(F72)&lt;0.000000001),"",((1/TAN(F72*PI()/180))-(1/TAN(E72*PI()/180)))/(Inputs!$B$7/Inputs!$B$6)*100))</f>
        <v>116.23179384500959</v>
      </c>
      <c r="H72" s="9">
        <f>IF(E72="","",Inputs!$B$6/TAN(E72*PI()/180)+Inputs!$B$7/2)</f>
        <v>20423.95792579402</v>
      </c>
      <c r="I72" s="9">
        <f>IF(F72="","",Inputs!$B$6/TAN(F72*PI()/180)-Inputs!$B$7/2)</f>
        <v>20586.275864244115</v>
      </c>
      <c r="J72" s="9">
        <f t="shared" si="13"/>
        <v>20505.116895019069</v>
      </c>
      <c r="K72" s="9">
        <f t="shared" si="14"/>
        <v>162.31793845009452</v>
      </c>
      <c r="L72" s="9">
        <f>IF(OR(B72="",C72="",ABS(SIN(RADIANS(C72-B72)))&lt;0.000000001),"",Inputs!$B$7*SIN(RADIANS(B72))*SIN(RADIANS(C72))/SIN(RADIANS(C72-B72)))</f>
        <v>-1118.4547334213066</v>
      </c>
      <c r="M72" s="9">
        <f>IF(L72="","",-Inputs!$B$7/2*(COS(RADIANS(B72))*SIN(RADIANS(C72))+COS(RADIANS(C72))*SIN(RADIANS(B72)))/SIN(RADIANS(C72-B72)))</f>
        <v>17641.573115839445</v>
      </c>
      <c r="N72" s="9">
        <f>IF(L72="","",L72+Inputs!$B$6)</f>
        <v>181.54526657869337</v>
      </c>
      <c r="O72" s="9">
        <f>IF(J72="","",SQRT(Inputs!$B$6^2+(ABS(J72)+Inputs!$B$7/2)^2))</f>
        <v>21045.306739827185</v>
      </c>
      <c r="P72" s="10" t="str">
        <f>IF(A72="","",IF(AND(Math!P70,Math!AF70),"OK","No solution"))</f>
        <v>OK</v>
      </c>
    </row>
    <row r="73" spans="1:16">
      <c r="A73" s="7">
        <f>Math!A71</f>
        <v>9</v>
      </c>
      <c r="B73" s="8">
        <f>IF(OR(Math!P71=FALSE,Math!A71=""),"",Math!Q71)</f>
        <v>4.2163000377466764</v>
      </c>
      <c r="C73" s="8">
        <f>IF(OR(Math!AF71=FALSE,Math!A71=""),"",Math!AG71)</f>
        <v>3.9562888678213288</v>
      </c>
      <c r="D73" t="str">
        <f t="shared" si="10"/>
        <v>Left</v>
      </c>
      <c r="E73" s="8">
        <f t="shared" si="11"/>
        <v>4.2163000377466764</v>
      </c>
      <c r="F73" s="8">
        <f t="shared" si="12"/>
        <v>3.9562888678213288</v>
      </c>
      <c r="G73" s="8">
        <f>IF(OR(E73="",F73=""),"",IF(OR(ABS(E73)&lt;0.000000001,ABS(F73)&lt;0.000000001),"",((1/TAN(F73*PI()/180))-(1/TAN(E73*PI()/180)))/(Inputs!$B$7/Inputs!$B$6)*100))</f>
        <v>116.29852480675649</v>
      </c>
      <c r="H73" s="9">
        <f>IF(E73="","",Inputs!$B$6/TAN(E73*PI()/180)+Inputs!$B$7/2)</f>
        <v>18133.947683733175</v>
      </c>
      <c r="I73" s="9">
        <f>IF(F73="","",Inputs!$B$6/TAN(F73*PI()/180)-Inputs!$B$7/2)</f>
        <v>18296.932931800744</v>
      </c>
      <c r="J73" s="9">
        <f t="shared" si="13"/>
        <v>18215.440307766959</v>
      </c>
      <c r="K73" s="9">
        <f t="shared" si="14"/>
        <v>162.98524806756905</v>
      </c>
      <c r="L73" s="9">
        <f>IF(OR(B73="",C73="",ABS(SIN(RADIANS(C73-B73)))&lt;0.000000001),"",Inputs!$B$7*SIN(RADIANS(B73))*SIN(RADIANS(C73))/SIN(RADIANS(C73-B73)))</f>
        <v>-1117.8129749797754</v>
      </c>
      <c r="M73" s="9">
        <f>IF(L73="","",-Inputs!$B$7/2*(COS(RADIANS(B73))*SIN(RADIANS(C73))+COS(RADIANS(C73))*SIN(RADIANS(B73)))/SIN(RADIANS(C73-B73)))</f>
        <v>15662.658093070384</v>
      </c>
      <c r="N73" s="9">
        <f>IF(L73="","",L73+Inputs!$B$6)</f>
        <v>182.18702502022461</v>
      </c>
      <c r="O73" s="9">
        <f>IF(J73="","",SQRT(Inputs!$B$6^2+(ABS(J73)+Inputs!$B$7/2)^2))</f>
        <v>18760.535864244077</v>
      </c>
      <c r="P73" s="10" t="str">
        <f>IF(A73="","",IF(AND(Math!P71,Math!AF71),"OK","No solution"))</f>
        <v>OK</v>
      </c>
    </row>
    <row r="74" spans="1:16">
      <c r="A74" s="7">
        <f>Math!A72</f>
        <v>10</v>
      </c>
      <c r="B74" s="8">
        <f>IF(OR(Math!P72=FALSE,Math!A72=""),"",Math!Q72)</f>
        <v>4.7034305307106115</v>
      </c>
      <c r="C74" s="8">
        <f>IF(OR(Math!AF72=FALSE,Math!A72=""),"",Math!AG72)</f>
        <v>4.3820839826230813</v>
      </c>
      <c r="D74" t="str">
        <f t="shared" si="10"/>
        <v>Left</v>
      </c>
      <c r="E74" s="8">
        <f t="shared" si="11"/>
        <v>4.7034305307106115</v>
      </c>
      <c r="F74" s="8">
        <f t="shared" si="12"/>
        <v>4.3820839826230813</v>
      </c>
      <c r="G74" s="8">
        <f>IF(OR(E74="",F74=""),"",IF(OR(ABS(E74)&lt;0.000000001,ABS(F74)&lt;0.000000001),"",((1/TAN(F74*PI()/180))-(1/TAN(E74*PI()/180)))/(Inputs!$B$7/Inputs!$B$6)*100))</f>
        <v>116.37328116006836</v>
      </c>
      <c r="H74" s="9">
        <f>IF(E74="","",Inputs!$B$6/TAN(E74*PI()/180)+Inputs!$B$7/2)</f>
        <v>16300.621473550271</v>
      </c>
      <c r="I74" s="9">
        <f>IF(F74="","",Inputs!$B$6/TAN(F74*PI()/180)-Inputs!$B$7/2)</f>
        <v>16464.354285150952</v>
      </c>
      <c r="J74" s="9">
        <f t="shared" si="13"/>
        <v>16382.48787935061</v>
      </c>
      <c r="K74" s="9">
        <f t="shared" si="14"/>
        <v>163.73281160068109</v>
      </c>
      <c r="L74" s="9">
        <f>IF(OR(B74="",C74="",ABS(SIN(RADIANS(C74-B74)))&lt;0.000000001),"",Inputs!$B$7*SIN(RADIANS(B74))*SIN(RADIANS(C74))/SIN(RADIANS(C74-B74)))</f>
        <v>-1117.0949096226711</v>
      </c>
      <c r="M74" s="9">
        <f>IF(L74="","",-Inputs!$B$7/2*(COS(RADIANS(B74))*SIN(RADIANS(C74))+COS(RADIANS(C74))*SIN(RADIANS(B74)))/SIN(RADIANS(C74-B74)))</f>
        <v>14077.533705367443</v>
      </c>
      <c r="N74" s="9">
        <f>IF(L74="","",L74+Inputs!$B$6)</f>
        <v>182.90509037732886</v>
      </c>
      <c r="O74" s="9">
        <f>IF(J74="","",SQRT(Inputs!$B$6^2+(ABS(J74)+Inputs!$B$7/2)^2))</f>
        <v>16932.465768352235</v>
      </c>
      <c r="P74" s="10" t="str">
        <f>IF(A74="","",IF(AND(Math!P72,Math!AF72),"OK","No solution"))</f>
        <v>OK</v>
      </c>
    </row>
    <row r="75" spans="1:16">
      <c r="A75" s="7">
        <f>Math!A73</f>
        <v>11</v>
      </c>
      <c r="B75" s="8">
        <f>IF(OR(Math!P73=FALSE,Math!A73=""),"",Math!Q73)</f>
        <v>5.1946404938103337</v>
      </c>
      <c r="C75" s="8">
        <f>IF(OR(Math!AF73=FALSE,Math!A73=""),"",Math!AG73)</f>
        <v>4.8053483362141796</v>
      </c>
      <c r="D75" t="str">
        <f t="shared" si="10"/>
        <v>Left</v>
      </c>
      <c r="E75" s="8">
        <f t="shared" si="11"/>
        <v>5.1946404938103337</v>
      </c>
      <c r="F75" s="8">
        <f t="shared" si="12"/>
        <v>4.8053483362141796</v>
      </c>
      <c r="G75" s="8">
        <f>IF(OR(E75="",F75=""),"",IF(OR(ABS(E75)&lt;0.000000001,ABS(F75)&lt;0.000000001),"",((1/TAN(F75*PI()/180))-(1/TAN(E75*PI()/180)))/(Inputs!$B$7/Inputs!$B$6)*100))</f>
        <v>116.45612216266181</v>
      </c>
      <c r="H75" s="9">
        <f>IF(E75="","",Inputs!$B$6/TAN(E75*PI()/180)+Inputs!$B$7/2)</f>
        <v>14799.414334026738</v>
      </c>
      <c r="I75" s="9">
        <f>IF(F75="","",Inputs!$B$6/TAN(F75*PI()/180)-Inputs!$B$7/2)</f>
        <v>14963.975555653356</v>
      </c>
      <c r="J75" s="9">
        <f t="shared" si="13"/>
        <v>14881.694944840048</v>
      </c>
      <c r="K75" s="9">
        <f t="shared" si="14"/>
        <v>164.56122162661813</v>
      </c>
      <c r="L75" s="9">
        <f>IF(OR(B75="",C75="",ABS(SIN(RADIANS(C75-B75)))&lt;0.000000001),"",Inputs!$B$7*SIN(RADIANS(B75))*SIN(RADIANS(C75))/SIN(RADIANS(C75-B75)))</f>
        <v>-1116.3002647333615</v>
      </c>
      <c r="M75" s="9">
        <f>IF(L75="","",-Inputs!$B$7/2*(COS(RADIANS(B75))*SIN(RADIANS(C75))+COS(RADIANS(C75))*SIN(RADIANS(B75)))/SIN(RADIANS(C75-B75)))</f>
        <v>12778.800005081594</v>
      </c>
      <c r="N75" s="9">
        <f>IF(L75="","",L75+Inputs!$B$6)</f>
        <v>183.69973526663853</v>
      </c>
      <c r="O75" s="9">
        <f>IF(J75="","",SQRT(Inputs!$B$6^2+(ABS(J75)+Inputs!$B$7/2)^2))</f>
        <v>15436.532621548075</v>
      </c>
      <c r="P75" s="10" t="str">
        <f>IF(A75="","",IF(AND(Math!P73,Math!AF73),"OK","No solution"))</f>
        <v>OK</v>
      </c>
    </row>
    <row r="76" spans="1:16">
      <c r="A76" s="7">
        <f>Math!A74</f>
        <v>12</v>
      </c>
      <c r="B76" s="8">
        <f>IF(OR(Math!P74=FALSE,Math!A74=""),"",Math!Q74)</f>
        <v>5.690034382269058</v>
      </c>
      <c r="C76" s="8">
        <f>IF(OR(Math!AF74=FALSE,Math!A74=""),"",Math!AG74)</f>
        <v>5.2261393931706976</v>
      </c>
      <c r="D76" t="str">
        <f t="shared" si="10"/>
        <v>Left</v>
      </c>
      <c r="E76" s="8">
        <f t="shared" si="11"/>
        <v>5.690034382269058</v>
      </c>
      <c r="F76" s="8">
        <f t="shared" si="12"/>
        <v>5.2261393931706976</v>
      </c>
      <c r="G76" s="8">
        <f>IF(OR(E76="",F76=""),"",IF(OR(ABS(E76)&lt;0.000000001,ABS(F76)&lt;0.000000001),"",((1/TAN(F76*PI()/180))-(1/TAN(E76*PI()/180)))/(Inputs!$B$7/Inputs!$B$6)*100))</f>
        <v>116.54711386115582</v>
      </c>
      <c r="H76" s="9">
        <f>IF(E76="","",Inputs!$B$6/TAN(E76*PI()/180)+Inputs!$B$7/2)</f>
        <v>13547.282459303966</v>
      </c>
      <c r="I76" s="9">
        <f>IF(F76="","",Inputs!$B$6/TAN(F76*PI()/180)-Inputs!$B$7/2)</f>
        <v>13712.753597915524</v>
      </c>
      <c r="J76" s="9">
        <f t="shared" si="13"/>
        <v>13630.018028609746</v>
      </c>
      <c r="K76" s="9">
        <f t="shared" si="14"/>
        <v>165.47113861155776</v>
      </c>
      <c r="L76" s="9">
        <f>IF(OR(B76="",C76="",ABS(SIN(RADIANS(C76-B76)))&lt;0.000000001),"",Inputs!$B$7*SIN(RADIANS(B76))*SIN(RADIANS(C76))/SIN(RADIANS(C76-B76)))</f>
        <v>-1115.4287368700604</v>
      </c>
      <c r="M76" s="9">
        <f>IF(L76="","",-Inputs!$B$7/2*(COS(RADIANS(B76))*SIN(RADIANS(C76))+COS(RADIANS(C76))*SIN(RADIANS(B76)))/SIN(RADIANS(C76-B76)))</f>
        <v>11694.856763975629</v>
      </c>
      <c r="N76" s="9">
        <f>IF(L76="","",L76+Inputs!$B$6)</f>
        <v>184.57126312993955</v>
      </c>
      <c r="O76" s="9">
        <f>IF(J76="","",SQRT(Inputs!$B$6^2+(ABS(J76)+Inputs!$B$7/2)^2))</f>
        <v>14189.693777134038</v>
      </c>
      <c r="P76" s="10" t="str">
        <f>IF(A76="","",IF(AND(Math!P74,Math!AF74),"OK","No solution"))</f>
        <v>OK</v>
      </c>
    </row>
    <row r="77" spans="1:16">
      <c r="A77" s="7">
        <f>Math!A75</f>
        <v>13</v>
      </c>
      <c r="B77" s="8">
        <f>IF(OR(Math!P75=FALSE,Math!A75=""),"",Math!Q75)</f>
        <v>6.1897201278250513</v>
      </c>
      <c r="C77" s="8">
        <f>IF(OR(Math!AF75=FALSE,Math!A75=""),"",Math!AG75)</f>
        <v>5.6445132167822827</v>
      </c>
      <c r="D77" t="str">
        <f t="shared" si="10"/>
        <v>Left</v>
      </c>
      <c r="E77" s="8">
        <f t="shared" si="11"/>
        <v>6.1897201278250513</v>
      </c>
      <c r="F77" s="8">
        <f t="shared" si="12"/>
        <v>5.6445132167822827</v>
      </c>
      <c r="G77" s="8">
        <f>IF(OR(E77="",F77=""),"",IF(OR(ABS(E77)&lt;0.000000001,ABS(F77)&lt;0.000000001),"",((1/TAN(F77*PI()/180))-(1/TAN(E77*PI()/180)))/(Inputs!$B$7/Inputs!$B$6)*100))</f>
        <v>116.64632926423299</v>
      </c>
      <c r="H77" s="9">
        <f>IF(E77="","",Inputs!$B$6/TAN(E77*PI()/180)+Inputs!$B$7/2)</f>
        <v>12486.733502608142</v>
      </c>
      <c r="I77" s="9">
        <f>IF(F77="","",Inputs!$B$6/TAN(F77*PI()/180)-Inputs!$B$7/2)</f>
        <v>12653.196795250471</v>
      </c>
      <c r="J77" s="9">
        <f t="shared" si="13"/>
        <v>12569.965148929306</v>
      </c>
      <c r="K77" s="9">
        <f t="shared" si="14"/>
        <v>166.46329264232918</v>
      </c>
      <c r="L77" s="9">
        <f>IF(OR(B77="",C77="",ABS(SIN(RADIANS(C77-B77)))&lt;0.000000001),"",Inputs!$B$7*SIN(RADIANS(B77))*SIN(RADIANS(C77))/SIN(RADIANS(C77-B77)))</f>
        <v>-1114.4799910978581</v>
      </c>
      <c r="M77" s="9">
        <f>IF(L77="","",-Inputs!$B$7/2*(COS(RADIANS(B77))*SIN(RADIANS(C77))+COS(RADIANS(C77))*SIN(RADIANS(B77)))/SIN(RADIANS(C77-B77)))</f>
        <v>10776.134344060862</v>
      </c>
      <c r="N77" s="9">
        <f>IF(L77="","",L77+Inputs!$B$6)</f>
        <v>185.52000890214185</v>
      </c>
      <c r="O77" s="9">
        <f>IF(J77="","",SQRT(Inputs!$B$6^2+(ABS(J77)+Inputs!$B$7/2)^2))</f>
        <v>13134.458077675938</v>
      </c>
      <c r="P77" s="10" t="str">
        <f>IF(A77="","",IF(AND(Math!P75,Math!AF75),"OK","No solution"))</f>
        <v>OK</v>
      </c>
    </row>
    <row r="78" spans="1:16">
      <c r="A78" s="7">
        <f>Math!A76</f>
        <v>14</v>
      </c>
      <c r="B78" s="8">
        <f>IF(OR(Math!P76=FALSE,Math!A76=""),"",Math!Q76)</f>
        <v>6.693809304998962</v>
      </c>
      <c r="C78" s="8">
        <f>IF(OR(Math!AF76=FALSE,Math!A76=""),"",Math!AG76)</f>
        <v>6.0605245201626348</v>
      </c>
      <c r="D78" t="str">
        <f t="shared" si="10"/>
        <v>Left</v>
      </c>
      <c r="E78" s="8">
        <f t="shared" si="11"/>
        <v>6.693809304998962</v>
      </c>
      <c r="F78" s="8">
        <f t="shared" si="12"/>
        <v>6.0605245201626348</v>
      </c>
      <c r="G78" s="8">
        <f>IF(OR(E78="",F78=""),"",IF(OR(ABS(E78)&lt;0.000000001,ABS(F78)&lt;0.000000001),"",((1/TAN(F78*PI()/180))-(1/TAN(E78*PI()/180)))/(Inputs!$B$7/Inputs!$B$6)*100))</f>
        <v>116.75384853582651</v>
      </c>
      <c r="H78" s="9">
        <f>IF(E78="","",Inputs!$B$6/TAN(E78*PI()/180)+Inputs!$B$7/2)</f>
        <v>11576.701034276648</v>
      </c>
      <c r="I78" s="9">
        <f>IF(F78="","",Inputs!$B$6/TAN(F78*PI()/180)-Inputs!$B$7/2)</f>
        <v>11744.239519634913</v>
      </c>
      <c r="J78" s="9">
        <f t="shared" si="13"/>
        <v>11660.470276955781</v>
      </c>
      <c r="K78" s="9">
        <f t="shared" si="14"/>
        <v>167.53848535826546</v>
      </c>
      <c r="L78" s="9">
        <f>IF(OR(B78="",C78="",ABS(SIN(RADIANS(C78-B78)))&lt;0.000000001),"",Inputs!$B$7*SIN(RADIANS(B78))*SIN(RADIANS(C78))/SIN(RADIANS(C78-B78)))</f>
        <v>-1113.4536602458018</v>
      </c>
      <c r="M78" s="9">
        <f>IF(L78="","",-Inputs!$B$7/2*(COS(RADIANS(B78))*SIN(RADIANS(C78))+COS(RADIANS(C78))*SIN(RADIANS(B78)))/SIN(RADIANS(C78-B78)))</f>
        <v>9987.2256231259944</v>
      </c>
      <c r="N78" s="9">
        <f>IF(L78="","",L78+Inputs!$B$6)</f>
        <v>186.54633975419824</v>
      </c>
      <c r="O78" s="9">
        <f>IF(J78="","",SQRT(Inputs!$B$6^2+(ABS(J78)+Inputs!$B$7/2)^2))</f>
        <v>12229.760314770074</v>
      </c>
      <c r="P78" s="10" t="str">
        <f>IF(A78="","",IF(AND(Math!P76,Math!AF76),"OK","No solution"))</f>
        <v>OK</v>
      </c>
    </row>
    <row r="79" spans="1:16">
      <c r="A79" s="7">
        <f>Math!A77</f>
        <v>15</v>
      </c>
      <c r="B79" s="8">
        <f>IF(OR(Math!P77=FALSE,Math!A77=""),"",Math!Q77)</f>
        <v>7.2024173076122056</v>
      </c>
      <c r="C79" s="8">
        <f>IF(OR(Math!AF77=FALSE,Math!A77=""),"",Math!AG77)</f>
        <v>6.4742267151514961</v>
      </c>
      <c r="D79" t="str">
        <f t="shared" si="10"/>
        <v>Left</v>
      </c>
      <c r="E79" s="8">
        <f t="shared" si="11"/>
        <v>7.2024173076122056</v>
      </c>
      <c r="F79" s="8">
        <f t="shared" si="12"/>
        <v>6.4742267151514961</v>
      </c>
      <c r="G79" s="8">
        <f>IF(OR(E79="",F79=""),"",IF(OR(ABS(E79)&lt;0.000000001,ABS(F79)&lt;0.000000001),"",((1/TAN(F79*PI()/180))-(1/TAN(E79*PI()/180)))/(Inputs!$B$7/Inputs!$B$6)*100))</f>
        <v>116.86975920954951</v>
      </c>
      <c r="H79" s="9">
        <f>IF(E79="","",Inputs!$B$6/TAN(E79*PI()/180)+Inputs!$B$7/2)</f>
        <v>10787.069215323405</v>
      </c>
      <c r="I79" s="9">
        <f>IF(F79="","",Inputs!$B$6/TAN(F79*PI()/180)-Inputs!$B$7/2)</f>
        <v>10955.7668074189</v>
      </c>
      <c r="J79" s="9">
        <f t="shared" si="13"/>
        <v>10871.418011371152</v>
      </c>
      <c r="K79" s="9">
        <f t="shared" si="14"/>
        <v>168.69759209549557</v>
      </c>
      <c r="L79" s="9">
        <f>IF(OR(B79="",C79="",ABS(SIN(RADIANS(C79-B79)))&lt;0.000000001),"",Inputs!$B$7*SIN(RADIANS(B79))*SIN(RADIANS(C79))/SIN(RADIANS(C79-B79)))</f>
        <v>-1112.3493440840205</v>
      </c>
      <c r="M79" s="9">
        <f>IF(L79="","",-Inputs!$B$7/2*(COS(RADIANS(B79))*SIN(RADIANS(C79))+COS(RADIANS(C79))*SIN(RADIANS(B79)))/SIN(RADIANS(C79-B79)))</f>
        <v>9302.1651493937752</v>
      </c>
      <c r="N79" s="9">
        <f>IF(L79="","",L79+Inputs!$B$6)</f>
        <v>187.65065591597954</v>
      </c>
      <c r="O79" s="9">
        <f>IF(J79="","",SQRT(Inputs!$B$6^2+(ABS(J79)+Inputs!$B$7/2)^2))</f>
        <v>11445.485904466277</v>
      </c>
      <c r="P79" s="10" t="str">
        <f>IF(A79="","",IF(AND(Math!P77,Math!AF77),"OK","No solution"))</f>
        <v>OK</v>
      </c>
    </row>
    <row r="80" spans="1:16">
      <c r="A80" s="7">
        <f>Math!A78</f>
        <v>16</v>
      </c>
      <c r="B80" s="8">
        <f>IF(OR(Math!P78=FALSE,Math!A78=""),"",Math!Q78)</f>
        <v>7.7156635363554251</v>
      </c>
      <c r="C80" s="8">
        <f>IF(OR(Math!AF78=FALSE,Math!A78=""),"",Math!AG78)</f>
        <v>6.8856719591287803</v>
      </c>
      <c r="D80" t="str">
        <f t="shared" si="10"/>
        <v>Left</v>
      </c>
      <c r="E80" s="8">
        <f t="shared" si="11"/>
        <v>7.7156635363554251</v>
      </c>
      <c r="F80" s="8">
        <f t="shared" si="12"/>
        <v>6.8856719591287803</v>
      </c>
      <c r="G80" s="8">
        <f>IF(OR(E80="",F80=""),"",IF(OR(ABS(E80)&lt;0.000000001,ABS(F80)&lt;0.000000001),"",((1/TAN(F80*PI()/180))-(1/TAN(E80*PI()/180)))/(Inputs!$B$7/Inputs!$B$6)*100))</f>
        <v>116.99415642592781</v>
      </c>
      <c r="H80" s="9">
        <f>IF(E80="","",Inputs!$B$6/TAN(E80*PI()/180)+Inputs!$B$7/2)</f>
        <v>10095.250717146924</v>
      </c>
      <c r="I80" s="9">
        <f>IF(F80="","",Inputs!$B$6/TAN(F80*PI()/180)-Inputs!$B$7/2)</f>
        <v>10265.192281406204</v>
      </c>
      <c r="J80" s="9">
        <f t="shared" si="13"/>
        <v>10180.221499276564</v>
      </c>
      <c r="K80" s="9">
        <f t="shared" si="14"/>
        <v>169.9415642592794</v>
      </c>
      <c r="L80" s="9">
        <f>IF(OR(B80="",C80="",ABS(SIN(RADIANS(C80-B80)))&lt;0.000000001),"",Inputs!$B$7*SIN(RADIANS(B80))*SIN(RADIANS(C80))/SIN(RADIANS(C80-B80)))</f>
        <v>-1111.1666084135279</v>
      </c>
      <c r="M80" s="9">
        <f>IF(L80="","",-Inputs!$B$7/2*(COS(RADIANS(B80))*SIN(RADIANS(C80))+COS(RADIANS(C80))*SIN(RADIANS(B80)))/SIN(RADIANS(C80-B80)))</f>
        <v>8701.4786124997081</v>
      </c>
      <c r="N80" s="9">
        <f>IF(L80="","",L80+Inputs!$B$6)</f>
        <v>188.83339158647209</v>
      </c>
      <c r="O80" s="9">
        <f>IF(J80="","",SQRT(Inputs!$B$6^2+(ABS(J80)+Inputs!$B$7/2)^2))</f>
        <v>10759.048808961197</v>
      </c>
      <c r="P80" s="10" t="str">
        <f>IF(A80="","",IF(AND(Math!P78,Math!AF78),"OK","No solution"))</f>
        <v>OK</v>
      </c>
    </row>
    <row r="81" spans="1:16">
      <c r="A81" s="7">
        <f>Math!A79</f>
        <v>17</v>
      </c>
      <c r="B81" s="8">
        <f>IF(OR(Math!P79=FALSE,Math!A79=""),"",Math!Q79)</f>
        <v>8.2336715982739097</v>
      </c>
      <c r="C81" s="8">
        <f>IF(OR(Math!AF79=FALSE,Math!A79=""),"",Math!AG79)</f>
        <v>7.2949111998510014</v>
      </c>
      <c r="D81" t="str">
        <f t="shared" si="10"/>
        <v>Left</v>
      </c>
      <c r="E81" s="8">
        <f t="shared" si="11"/>
        <v>8.2336715982739097</v>
      </c>
      <c r="F81" s="8">
        <f t="shared" si="12"/>
        <v>7.2949111998510014</v>
      </c>
      <c r="G81" s="8">
        <f>IF(OR(E81="",F81=""),"",IF(OR(ABS(E81)&lt;0.000000001,ABS(F81)&lt;0.000000001),"",((1/TAN(F81*PI()/180))-(1/TAN(E81*PI()/180)))/(Inputs!$B$7/Inputs!$B$6)*100))</f>
        <v>117.1271431935329</v>
      </c>
      <c r="H81" s="9">
        <f>IF(E81="","",Inputs!$B$6/TAN(E81*PI()/180)+Inputs!$B$7/2)</f>
        <v>9483.9724329967084</v>
      </c>
      <c r="I81" s="9">
        <f>IF(F81="","",Inputs!$B$6/TAN(F81*PI()/180)-Inputs!$B$7/2)</f>
        <v>9655.2438649320375</v>
      </c>
      <c r="J81" s="9">
        <f t="shared" si="13"/>
        <v>9569.608148964373</v>
      </c>
      <c r="K81" s="9">
        <f t="shared" si="14"/>
        <v>171.27143193532902</v>
      </c>
      <c r="L81" s="9">
        <f>IF(OR(B81="",C81="",ABS(SIN(RADIANS(C81-B81)))&lt;0.000000001),"",Inputs!$B$7*SIN(RADIANS(B81))*SIN(RADIANS(C81))/SIN(RADIANS(C81-B81)))</f>
        <v>-1109.9049840667303</v>
      </c>
      <c r="M81" s="9">
        <f>IF(L81="","",-Inputs!$B$7/2*(COS(RADIANS(B81))*SIN(RADIANS(C81))+COS(RADIANS(C81))*SIN(RADIANS(B81)))/SIN(RADIANS(C81-B81)))</f>
        <v>8170.2736770008878</v>
      </c>
      <c r="N81" s="9">
        <f>IF(L81="","",L81+Inputs!$B$6)</f>
        <v>190.09501593326968</v>
      </c>
      <c r="O81" s="9">
        <f>IF(J81="","",SQRT(Inputs!$B$6^2+(ABS(J81)+Inputs!$B$7/2)^2))</f>
        <v>10153.177250185761</v>
      </c>
      <c r="P81" s="10" t="str">
        <f>IF(A81="","",IF(AND(Math!P79,Math!AF79),"OK","No solution"))</f>
        <v>OK</v>
      </c>
    </row>
    <row r="82" spans="1:16">
      <c r="A82" s="7">
        <f>Math!A80</f>
        <v>18</v>
      </c>
      <c r="B82" s="8">
        <f>IF(OR(Math!P80=FALSE,Math!A80=""),"",Math!Q80)</f>
        <v>8.7565695191250192</v>
      </c>
      <c r="C82" s="8">
        <f>IF(OR(Math!AF80=FALSE,Math!A80=""),"",Math!AG80)</f>
        <v>7.7019942184156251</v>
      </c>
      <c r="D82" t="str">
        <f t="shared" si="10"/>
        <v>Left</v>
      </c>
      <c r="E82" s="8">
        <f t="shared" si="11"/>
        <v>8.7565695191250192</v>
      </c>
      <c r="F82" s="8">
        <f t="shared" si="12"/>
        <v>7.7019942184156251</v>
      </c>
      <c r="G82" s="8">
        <f>IF(OR(E82="",F82=""),"",IF(OR(ABS(E82)&lt;0.000000001,ABS(F82)&lt;0.000000001),"",((1/TAN(F82*PI()/180))-(1/TAN(E82*PI()/180)))/(Inputs!$B$7/Inputs!$B$6)*100))</f>
        <v>117.26883067576254</v>
      </c>
      <c r="H82" s="9">
        <f>IF(E82="","",Inputs!$B$6/TAN(E82*PI()/180)+Inputs!$B$7/2)</f>
        <v>8939.799284301449</v>
      </c>
      <c r="I82" s="9">
        <f>IF(F82="","",Inputs!$B$6/TAN(F82*PI()/180)-Inputs!$B$7/2)</f>
        <v>9112.4875910590745</v>
      </c>
      <c r="J82" s="9">
        <f t="shared" si="13"/>
        <v>9026.1434376802608</v>
      </c>
      <c r="K82" s="9">
        <f t="shared" si="14"/>
        <v>172.68830675762547</v>
      </c>
      <c r="L82" s="9">
        <f>IF(OR(B82="",C82="",ABS(SIN(RADIANS(C82-B82)))&lt;0.000000001),"",Inputs!$B$7*SIN(RADIANS(B82))*SIN(RADIANS(C82))/SIN(RADIANS(C82-B82)))</f>
        <v>-1108.5639658114949</v>
      </c>
      <c r="M82" s="9">
        <f>IF(L82="","",-Inputs!$B$7/2*(COS(RADIANS(B82))*SIN(RADIANS(C82))+COS(RADIANS(C82))*SIN(RADIANS(B82)))/SIN(RADIANS(C82-B82)))</f>
        <v>7696.967204044794</v>
      </c>
      <c r="N82" s="9">
        <f>IF(L82="","",L82+Inputs!$B$6)</f>
        <v>191.43603418850512</v>
      </c>
      <c r="O82" s="9">
        <f>IF(J82="","",SQRT(Inputs!$B$6^2+(ABS(J82)+Inputs!$B$7/2)^2))</f>
        <v>9614.4375184021392</v>
      </c>
      <c r="P82" s="10" t="str">
        <f>IF(A82="","",IF(AND(Math!P80,Math!AF80),"OK","No solution"))</f>
        <v>OK</v>
      </c>
    </row>
    <row r="83" spans="1:16">
      <c r="A83" s="7">
        <f>Math!A81</f>
        <v>19</v>
      </c>
      <c r="B83" s="8">
        <f>IF(OR(Math!P81=FALSE,Math!A81=""),"",Math!Q81)</f>
        <v>9.2844899696539471</v>
      </c>
      <c r="C83" s="8">
        <f>IF(OR(Math!AF81=FALSE,Math!A81=""),"",Math!AG81)</f>
        <v>8.106969670452699</v>
      </c>
      <c r="D83" t="str">
        <f t="shared" si="10"/>
        <v>Left</v>
      </c>
      <c r="E83" s="8">
        <f t="shared" si="11"/>
        <v>9.2844899696539471</v>
      </c>
      <c r="F83" s="8">
        <f t="shared" si="12"/>
        <v>8.106969670452699</v>
      </c>
      <c r="G83" s="8">
        <f>IF(OR(E83="",F83=""),"",IF(OR(ABS(E83)&lt;0.000000001,ABS(F83)&lt;0.000000001),"",((1/TAN(F83*PI()/180))-(1/TAN(E83*PI()/180)))/(Inputs!$B$7/Inputs!$B$6)*100))</f>
        <v>117.41933850496369</v>
      </c>
      <c r="H83" s="9">
        <f>IF(E83="","",Inputs!$B$6/TAN(E83*PI()/180)+Inputs!$B$7/2)</f>
        <v>8452.1241920698503</v>
      </c>
      <c r="I83" s="9">
        <f>IF(F83="","",Inputs!$B$6/TAN(F83*PI()/180)-Inputs!$B$7/2)</f>
        <v>8626.3175771194874</v>
      </c>
      <c r="J83" s="9">
        <f t="shared" si="13"/>
        <v>8539.2208845946698</v>
      </c>
      <c r="K83" s="9">
        <f t="shared" si="14"/>
        <v>174.19338504963707</v>
      </c>
      <c r="L83" s="9">
        <f>IF(OR(B83="",C83="",ABS(SIN(RADIANS(C83-B83)))&lt;0.000000001),"",Inputs!$B$7*SIN(RADIANS(B83))*SIN(RADIANS(C83))/SIN(RADIANS(C83-B83)))</f>
        <v>-1107.1430111531793</v>
      </c>
      <c r="M83" s="9">
        <f>IF(L83="","",-Inputs!$B$7/2*(COS(RADIANS(B83))*SIN(RADIANS(C83))+COS(RADIANS(C83))*SIN(RADIANS(B83)))/SIN(RADIANS(C83-B83)))</f>
        <v>7272.4144023632743</v>
      </c>
      <c r="N83" s="9">
        <f>IF(L83="","",L83+Inputs!$B$6)</f>
        <v>192.85698884682074</v>
      </c>
      <c r="O83" s="9">
        <f>IF(J83="","",SQRT(Inputs!$B$6^2+(ABS(J83)+Inputs!$B$7/2)^2))</f>
        <v>9132.2239460326655</v>
      </c>
      <c r="P83" s="10" t="str">
        <f>IF(A83="","",IF(AND(Math!P81,Math!AF81),"OK","No solution"))</f>
        <v>OK</v>
      </c>
    </row>
    <row r="84" spans="1:16">
      <c r="A84" s="7">
        <f>Math!A82</f>
        <v>20</v>
      </c>
      <c r="B84" s="8">
        <f>IF(OR(Math!P82=FALSE,Math!A82=""),"",Math!Q82)</f>
        <v>9.8175705069340662</v>
      </c>
      <c r="C84" s="8">
        <f>IF(OR(Math!AF82=FALSE,Math!A82=""),"",Math!AG82)</f>
        <v>8.5098851256334456</v>
      </c>
      <c r="D84" t="str">
        <f t="shared" si="10"/>
        <v>Left</v>
      </c>
      <c r="E84" s="8">
        <f t="shared" si="11"/>
        <v>9.8175705069340662</v>
      </c>
      <c r="F84" s="8">
        <f t="shared" si="12"/>
        <v>8.5098851256334456</v>
      </c>
      <c r="G84" s="8">
        <f>IF(OR(E84="",F84=""),"",IF(OR(ABS(E84)&lt;0.000000001,ABS(F84)&lt;0.000000001),"",((1/TAN(F84*PI()/180))-(1/TAN(E84*PI()/180)))/(Inputs!$B$7/Inputs!$B$6)*100))</f>
        <v>117.5787951260148</v>
      </c>
      <c r="H84" s="9">
        <f>IF(E84="","",Inputs!$B$6/TAN(E84*PI()/180)+Inputs!$B$7/2)</f>
        <v>8012.4610554830679</v>
      </c>
      <c r="I84" s="9">
        <f>IF(F84="","",Inputs!$B$6/TAN(F84*PI()/180)-Inputs!$B$7/2)</f>
        <v>8188.2490067432154</v>
      </c>
      <c r="J84" s="9">
        <f t="shared" si="13"/>
        <v>8100.3550311131421</v>
      </c>
      <c r="K84" s="9">
        <f t="shared" si="14"/>
        <v>175.78795126014757</v>
      </c>
      <c r="L84" s="9">
        <f>IF(OR(B84="",C84="",ABS(SIN(RADIANS(C84-B84)))&lt;0.000000001),"",Inputs!$B$7*SIN(RADIANS(B84))*SIN(RADIANS(C84))/SIN(RADIANS(C84-B84)))</f>
        <v>-1105.6415390264269</v>
      </c>
      <c r="M84" s="9">
        <f>IF(L84="","",-Inputs!$B$7/2*(COS(RADIANS(B84))*SIN(RADIANS(C84))+COS(RADIANS(C84))*SIN(RADIANS(B84)))/SIN(RADIANS(C84-B84)))</f>
        <v>6889.2992332772255</v>
      </c>
      <c r="N84" s="9">
        <f>IF(L84="","",L84+Inputs!$B$6)</f>
        <v>194.35846097357307</v>
      </c>
      <c r="O84" s="9">
        <f>IF(J84="","",SQRT(Inputs!$B$6^2+(ABS(J84)+Inputs!$B$7/2)^2))</f>
        <v>8698.051888853799</v>
      </c>
      <c r="P84" s="10" t="str">
        <f>IF(A84="","",IF(AND(Math!P82,Math!AF82),"OK","No solution"))</f>
        <v>OK</v>
      </c>
    </row>
    <row r="85" spans="1:16">
      <c r="A85" s="7">
        <f>Math!A83</f>
        <v>21</v>
      </c>
      <c r="B85" s="8">
        <f>IF(OR(Math!P83=FALSE,Math!A83=""),"",Math!Q83)</f>
        <v>10.35595383203815</v>
      </c>
      <c r="C85" s="8">
        <f>IF(OR(Math!AF83=FALSE,Math!A83=""),"",Math!AG83)</f>
        <v>8.9107871055861718</v>
      </c>
      <c r="D85" t="str">
        <f t="shared" si="10"/>
        <v>Left</v>
      </c>
      <c r="E85" s="8">
        <f t="shared" si="11"/>
        <v>10.35595383203815</v>
      </c>
      <c r="F85" s="8">
        <f t="shared" si="12"/>
        <v>8.9107871055861718</v>
      </c>
      <c r="G85" s="8">
        <f>IF(OR(E85="",F85=""),"",IF(OR(ABS(E85)&lt;0.000000001,ABS(F85)&lt;0.000000001),"",((1/TAN(F85*PI()/180))-(1/TAN(E85*PI()/180)))/(Inputs!$B$7/Inputs!$B$6)*100))</f>
        <v>117.74733817141339</v>
      </c>
      <c r="H85" s="9">
        <f>IF(E85="","",Inputs!$B$6/TAN(E85*PI()/180)+Inputs!$B$7/2)</f>
        <v>7613.939735166322</v>
      </c>
      <c r="I85" s="9">
        <f>IF(F85="","",Inputs!$B$6/TAN(F85*PI()/180)-Inputs!$B$7/2)</f>
        <v>7791.4131168804561</v>
      </c>
      <c r="J85" s="9">
        <f t="shared" si="13"/>
        <v>7702.6764260233886</v>
      </c>
      <c r="K85" s="9">
        <f t="shared" si="14"/>
        <v>177.47338171413412</v>
      </c>
      <c r="L85" s="9">
        <f>IF(OR(B85="",C85="",ABS(SIN(RADIANS(C85-B85)))&lt;0.000000001),"",Inputs!$B$7*SIN(RADIANS(B85))*SIN(RADIANS(C85))/SIN(RADIANS(C85-B85)))</f>
        <v>-1104.0589283704187</v>
      </c>
      <c r="M85" s="9">
        <f>IF(L85="","",-Inputs!$B$7/2*(COS(RADIANS(B85))*SIN(RADIANS(C85))+COS(RADIANS(C85))*SIN(RADIANS(B85)))/SIN(RADIANS(C85-B85)))</f>
        <v>6541.6989849995925</v>
      </c>
      <c r="N85" s="9">
        <f>IF(L85="","",L85+Inputs!$B$6)</f>
        <v>195.9410716295813</v>
      </c>
      <c r="O85" s="9">
        <f>IF(J85="","",SQRT(Inputs!$B$6^2+(ABS(J85)+Inputs!$B$7/2)^2))</f>
        <v>8305.0527120566694</v>
      </c>
      <c r="P85" s="10" t="str">
        <f>IF(A85="","",IF(AND(Math!P83,Math!AF83),"OK","No solution"))</f>
        <v>OK</v>
      </c>
    </row>
    <row r="86" spans="1:16">
      <c r="A86" s="7">
        <f>Math!A84</f>
        <v>22</v>
      </c>
      <c r="B86" s="8">
        <f>IF(OR(Math!P84=FALSE,Math!A84=""),"",Math!Q84)</f>
        <v>10.899788065429973</v>
      </c>
      <c r="C86" s="8">
        <f>IF(OR(Math!AF84=FALSE,Math!A84=""),"",Math!AG84)</f>
        <v>9.3097211202986383</v>
      </c>
      <c r="D86" t="str">
        <f t="shared" si="10"/>
        <v>Left</v>
      </c>
      <c r="E86" s="8">
        <f t="shared" si="11"/>
        <v>10.899788065429973</v>
      </c>
      <c r="F86" s="8">
        <f t="shared" si="12"/>
        <v>9.3097211202986383</v>
      </c>
      <c r="G86" s="8">
        <f>IF(OR(E86="",F86=""),"",IF(OR(ABS(E86)&lt;0.000000001,ABS(F86)&lt;0.000000001),"",((1/TAN(F86*PI()/180))-(1/TAN(E86*PI()/180)))/(Inputs!$B$7/Inputs!$B$6)*100))</f>
        <v>117.92511487046326</v>
      </c>
      <c r="H86" s="9">
        <f>IF(E86="","",Inputs!$B$6/TAN(E86*PI()/180)+Inputs!$B$7/2)</f>
        <v>7250.9387668066183</v>
      </c>
      <c r="I86" s="9">
        <f>IF(F86="","",Inputs!$B$6/TAN(F86*PI()/180)-Inputs!$B$7/2)</f>
        <v>7430.1899155112505</v>
      </c>
      <c r="J86" s="9">
        <f t="shared" si="13"/>
        <v>7340.5643411589344</v>
      </c>
      <c r="K86" s="9">
        <f t="shared" si="14"/>
        <v>179.25114870463221</v>
      </c>
      <c r="L86" s="9">
        <f>IF(OR(B86="",C86="",ABS(SIN(RADIANS(C86-B86)))&lt;0.000000001),"",Inputs!$B$7*SIN(RADIANS(B86))*SIN(RADIANS(C86))/SIN(RADIANS(C86-B86)))</f>
        <v>-1102.3945165777513</v>
      </c>
      <c r="M86" s="9">
        <f>IF(L86="","",-Inputs!$B$7/2*(COS(RADIANS(B86))*SIN(RADIANS(C86))+COS(RADIANS(C86))*SIN(RADIANS(B86)))/SIN(RADIANS(C86-B86)))</f>
        <v>6224.7675986767563</v>
      </c>
      <c r="N86" s="9">
        <f>IF(L86="","",L86+Inputs!$B$6)</f>
        <v>197.60548342224865</v>
      </c>
      <c r="O86" s="9">
        <f>IF(J86="","",SQRT(Inputs!$B$6^2+(ABS(J86)+Inputs!$B$7/2)^2))</f>
        <v>7947.6065068580892</v>
      </c>
      <c r="P86" s="10" t="str">
        <f>IF(A86="","",IF(AND(Math!P84,Math!AF84),"OK","No solution"))</f>
        <v>OK</v>
      </c>
    </row>
    <row r="87" spans="1:16">
      <c r="A87" s="7">
        <f>Math!A85</f>
        <v>23</v>
      </c>
      <c r="B87" s="8">
        <f>IF(OR(Math!P85=FALSE,Math!A85=""),"",Math!Q85)</f>
        <v>11.449227041613382</v>
      </c>
      <c r="C87" s="8">
        <f>IF(OR(Math!AF85=FALSE,Math!A85=""),"",Math!AG85)</f>
        <v>9.7067317030843032</v>
      </c>
      <c r="D87" t="str">
        <f t="shared" si="10"/>
        <v>Left</v>
      </c>
      <c r="E87" s="8">
        <f t="shared" si="11"/>
        <v>11.449227041613382</v>
      </c>
      <c r="F87" s="8">
        <f t="shared" si="12"/>
        <v>9.7067317030843032</v>
      </c>
      <c r="G87" s="8">
        <f>IF(OR(E87="",F87=""),"",IF(OR(ABS(E87)&lt;0.000000001,ABS(F87)&lt;0.000000001),"",((1/TAN(F87*PI()/180))-(1/TAN(E87*PI()/180)))/(Inputs!$B$7/Inputs!$B$6)*100))</f>
        <v>118.11228249535601</v>
      </c>
      <c r="H87" s="9">
        <f>IF(E87="","",Inputs!$B$6/TAN(E87*PI()/180)+Inputs!$B$7/2)</f>
        <v>6918.8138870585935</v>
      </c>
      <c r="I87" s="9">
        <f>IF(F87="","",Inputs!$B$6/TAN(F87*PI()/180)-Inputs!$B$7/2)</f>
        <v>7099.9367120121542</v>
      </c>
      <c r="J87" s="9">
        <f t="shared" si="13"/>
        <v>7009.3752995353734</v>
      </c>
      <c r="K87" s="9">
        <f t="shared" si="14"/>
        <v>181.12282495356067</v>
      </c>
      <c r="L87" s="9">
        <f>IF(OR(B87="",C87="",ABS(SIN(RADIANS(C87-B87)))&lt;0.000000001),"",Inputs!$B$7*SIN(RADIANS(B87))*SIN(RADIANS(C87))/SIN(RADIANS(C87-B87)))</f>
        <v>-1100.6475978068681</v>
      </c>
      <c r="M87" s="9">
        <f>IF(L87="","",-Inputs!$B$7/2*(COS(RADIANS(B87))*SIN(RADIANS(C87))+COS(RADIANS(C87))*SIN(RADIANS(B87)))/SIN(RADIANS(C87-B87)))</f>
        <v>5934.5016042772349</v>
      </c>
      <c r="N87" s="9">
        <f>IF(L87="","",L87+Inputs!$B$6)</f>
        <v>199.35240219313187</v>
      </c>
      <c r="O87" s="9">
        <f>IF(J87="","",SQRT(Inputs!$B$6^2+(ABS(J87)+Inputs!$B$7/2)^2))</f>
        <v>7621.0706196224155</v>
      </c>
      <c r="P87" s="10" t="str">
        <f>IF(A87="","",IF(AND(Math!P85,Math!AF85),"OK","No solution"))</f>
        <v>OK</v>
      </c>
    </row>
    <row r="88" spans="1:16">
      <c r="A88" s="7">
        <f>Math!A86</f>
        <v>24</v>
      </c>
      <c r="B88" s="8">
        <f>IF(OR(Math!P86=FALSE,Math!A86=""),"",Math!Q86)</f>
        <v>12.0044306247351</v>
      </c>
      <c r="C88" s="8">
        <f>IF(OR(Math!AF86=FALSE,Math!A86=""),"",Math!AG86)</f>
        <v>10.10186244418631</v>
      </c>
      <c r="D88" t="str">
        <f t="shared" si="10"/>
        <v>Left</v>
      </c>
      <c r="E88" s="8">
        <f t="shared" si="11"/>
        <v>12.0044306247351</v>
      </c>
      <c r="F88" s="8">
        <f t="shared" si="12"/>
        <v>10.10186244418631</v>
      </c>
      <c r="G88" s="8">
        <f>IF(OR(E88="",F88=""),"",IF(OR(ABS(E88)&lt;0.000000001,ABS(F88)&lt;0.000000001),"",((1/TAN(F88*PI()/180))-(1/TAN(E88*PI()/180)))/(Inputs!$B$7/Inputs!$B$6)*100))</f>
        <v>118.3090088470578</v>
      </c>
      <c r="H88" s="9">
        <f>IF(E88="","",Inputs!$B$6/TAN(E88*PI()/180)+Inputs!$B$7/2)</f>
        <v>6613.6944263552241</v>
      </c>
      <c r="I88" s="9">
        <f>IF(F88="","",Inputs!$B$6/TAN(F88*PI()/180)-Inputs!$B$7/2)</f>
        <v>6796.784514825802</v>
      </c>
      <c r="J88" s="9">
        <f t="shared" si="13"/>
        <v>6705.2394705905135</v>
      </c>
      <c r="K88" s="9">
        <f t="shared" si="14"/>
        <v>183.09008847057794</v>
      </c>
      <c r="L88" s="9">
        <f>IF(OR(B88="",C88="",ABS(SIN(RADIANS(C88-B88)))&lt;0.000000001),"",Inputs!$B$7*SIN(RADIANS(B88))*SIN(RADIANS(C88))/SIN(RADIANS(C88-B88)))</f>
        <v>-1098.8174211488454</v>
      </c>
      <c r="M88" s="9">
        <f>IF(L88="","",-Inputs!$B$7/2*(COS(RADIANS(B88))*SIN(RADIANS(C88))+COS(RADIANS(C88))*SIN(RADIANS(B88)))/SIN(RADIANS(C88-B88)))</f>
        <v>5667.564571738244</v>
      </c>
      <c r="N88" s="9">
        <f>IF(L88="","",L88+Inputs!$B$6)</f>
        <v>201.18257885115463</v>
      </c>
      <c r="O88" s="9">
        <f>IF(J88="","",SQRT(Inputs!$B$6^2+(ABS(J88)+Inputs!$B$7/2)^2))</f>
        <v>7321.5760481303114</v>
      </c>
      <c r="P88" s="10" t="str">
        <f>IF(A88="","",IF(AND(Math!P86,Math!AF86),"OK","No solution"))</f>
        <v>OK</v>
      </c>
    </row>
    <row r="89" spans="1:16">
      <c r="A89" s="7">
        <f>Math!A87</f>
        <v>25</v>
      </c>
      <c r="B89" s="8">
        <f>IF(OR(Math!P87=FALSE,Math!A87=""),"",Math!Q87)</f>
        <v>12.565565047020229</v>
      </c>
      <c r="C89" s="8">
        <f>IF(OR(Math!AF87=FALSE,Math!A87=""),"",Math!AG87)</f>
        <v>10.495156023085332</v>
      </c>
      <c r="D89" t="str">
        <f t="shared" si="10"/>
        <v>Left</v>
      </c>
      <c r="E89" s="8">
        <f t="shared" si="11"/>
        <v>12.565565047020229</v>
      </c>
      <c r="F89" s="8">
        <f t="shared" si="12"/>
        <v>10.495156023085332</v>
      </c>
      <c r="G89" s="8">
        <f>IF(OR(E89="",F89=""),"",IF(OR(ABS(E89)&lt;0.000000001,ABS(F89)&lt;0.000000001),"",((1/TAN(F89*PI()/180))-(1/TAN(E89*PI()/180)))/(Inputs!$B$7/Inputs!$B$6)*100))</f>
        <v>118.51547278467021</v>
      </c>
      <c r="H89" s="9">
        <f>IF(E89="","",Inputs!$B$6/TAN(E89*PI()/180)+Inputs!$B$7/2)</f>
        <v>6332.328565748212</v>
      </c>
      <c r="I89" s="9">
        <f>IF(F89="","",Inputs!$B$6/TAN(F89*PI()/180)-Inputs!$B$7/2)</f>
        <v>6517.4832935949144</v>
      </c>
      <c r="J89" s="9">
        <f t="shared" si="13"/>
        <v>6424.9059296715632</v>
      </c>
      <c r="K89" s="9">
        <f t="shared" si="14"/>
        <v>185.15472784670237</v>
      </c>
      <c r="L89" s="9">
        <f>IF(OR(B89="",C89="",ABS(SIN(RADIANS(C89-B89)))&lt;0.000000001),"",Inputs!$B$7*SIN(RADIANS(B89))*SIN(RADIANS(C89))/SIN(RADIANS(C89-B89)))</f>
        <v>-1096.9031886342466</v>
      </c>
      <c r="M89" s="9">
        <f>IF(L89="","",-Inputs!$B$7/2*(COS(RADIANS(B89))*SIN(RADIANS(C89))+COS(RADIANS(C89))*SIN(RADIANS(B89)))/SIN(RADIANS(C89-B89)))</f>
        <v>5421.1536930244738</v>
      </c>
      <c r="N89" s="9">
        <f>IF(L89="","",L89+Inputs!$B$6)</f>
        <v>203.09681136575341</v>
      </c>
      <c r="O89" s="9">
        <f>IF(J89="","",SQRT(Inputs!$B$6^2+(ABS(J89)+Inputs!$B$7/2)^2))</f>
        <v>7045.8727021427494</v>
      </c>
      <c r="P89" s="10" t="str">
        <f>IF(A89="","",IF(AND(Math!P87,Math!AF87),"OK","No solution"))</f>
        <v>OK</v>
      </c>
    </row>
    <row r="90" spans="1:16">
      <c r="A90" s="7">
        <f>Math!A88</f>
        <v>26</v>
      </c>
      <c r="B90" s="8">
        <f>IF(OR(Math!P88=FALSE,Math!A88=""),"",Math!Q88)</f>
        <v>13.132803272122826</v>
      </c>
      <c r="C90" s="8">
        <f>IF(OR(Math!AF88=FALSE,Math!A88=""),"",Math!AG88)</f>
        <v>10.886654239577581</v>
      </c>
      <c r="D90" t="str">
        <f t="shared" si="10"/>
        <v>Left</v>
      </c>
      <c r="E90" s="8">
        <f t="shared" si="11"/>
        <v>13.132803272122826</v>
      </c>
      <c r="F90" s="8">
        <f t="shared" si="12"/>
        <v>10.886654239577581</v>
      </c>
      <c r="G90" s="8">
        <f>IF(OR(E90="",F90=""),"",IF(OR(ABS(E90)&lt;0.000000001,ABS(F90)&lt;0.000000001),"",((1/TAN(F90*PI()/180))-(1/TAN(E90*PI()/180)))/(Inputs!$B$7/Inputs!$B$6)*100))</f>
        <v>118.7318648019414</v>
      </c>
      <c r="H90" s="9">
        <f>IF(E90="","",Inputs!$B$6/TAN(E90*PI()/180)+Inputs!$B$7/2)</f>
        <v>6071.9643019268733</v>
      </c>
      <c r="I90" s="9">
        <f>IF(F90="","",Inputs!$B$6/TAN(F90*PI()/180)-Inputs!$B$7/2)</f>
        <v>6259.2829499462878</v>
      </c>
      <c r="J90" s="9">
        <f t="shared" si="13"/>
        <v>6165.6236259365805</v>
      </c>
      <c r="K90" s="9">
        <f t="shared" si="14"/>
        <v>187.31864801941447</v>
      </c>
      <c r="L90" s="9">
        <f>IF(OR(B90="",C90="",ABS(SIN(RADIANS(C90-B90)))&lt;0.000000001),"",Inputs!$B$7*SIN(RADIANS(B90))*SIN(RADIANS(C90))/SIN(RADIANS(C90-B90)))</f>
        <v>-1094.9040530682728</v>
      </c>
      <c r="M90" s="9">
        <f>IF(L90="","",-Inputs!$B$7/2*(COS(RADIANS(B90))*SIN(RADIANS(C90))+COS(RADIANS(C90))*SIN(RADIANS(B90)))/SIN(RADIANS(C90-B90)))</f>
        <v>5192.8971521011244</v>
      </c>
      <c r="N90" s="9">
        <f>IF(L90="","",L90+Inputs!$B$6)</f>
        <v>205.09594693172721</v>
      </c>
      <c r="O90" s="9">
        <f>IF(J90="","",SQRT(Inputs!$B$6^2+(ABS(J90)+Inputs!$B$7/2)^2))</f>
        <v>6791.2103724331737</v>
      </c>
      <c r="P90" s="10" t="str">
        <f>IF(A90="","",IF(AND(Math!P88,Math!AF88),"OK","No solution"))</f>
        <v>OK</v>
      </c>
    </row>
    <row r="91" spans="1:16">
      <c r="A91" s="7">
        <f>Math!A89</f>
        <v>27</v>
      </c>
      <c r="B91" s="8">
        <f>IF(OR(Math!P89=FALSE,Math!A89=""),"",Math!Q89)</f>
        <v>13.706325385704998</v>
      </c>
      <c r="C91" s="8">
        <f>IF(OR(Math!AF89=FALSE,Math!A89=""),"",Math!AG89)</f>
        <v>11.276398043682073</v>
      </c>
      <c r="D91" t="str">
        <f t="shared" si="10"/>
        <v>Left</v>
      </c>
      <c r="E91" s="8">
        <f t="shared" si="11"/>
        <v>13.706325385704998</v>
      </c>
      <c r="F91" s="8">
        <f t="shared" si="12"/>
        <v>11.276398043682073</v>
      </c>
      <c r="G91" s="8">
        <f>IF(OR(E91="",F91=""),"",IF(OR(ABS(E91)&lt;0.000000001,ABS(F91)&lt;0.000000001),"",((1/TAN(F91*PI()/180))-(1/TAN(E91*PI()/180)))/(Inputs!$B$7/Inputs!$B$6)*100))</f>
        <v>118.95838765536801</v>
      </c>
      <c r="H91" s="9">
        <f>IF(E91="","",Inputs!$B$6/TAN(E91*PI()/180)+Inputs!$B$7/2)</f>
        <v>5830.2568625778495</v>
      </c>
      <c r="I91" s="9">
        <f>IF(F91="","",Inputs!$B$6/TAN(F91*PI()/180)-Inputs!$B$7/2)</f>
        <v>6019.8407391315295</v>
      </c>
      <c r="J91" s="9">
        <f t="shared" si="13"/>
        <v>5925.048800854689</v>
      </c>
      <c r="K91" s="9">
        <f t="shared" si="14"/>
        <v>189.58387655368006</v>
      </c>
      <c r="L91" s="9">
        <f>IF(OR(B91="",C91="",ABS(SIN(RADIANS(C91-B91)))&lt;0.000000001),"",Inputs!$B$7*SIN(RADIANS(B91))*SIN(RADIANS(C91))/SIN(RADIANS(C91-B91)))</f>
        <v>-1092.81911567783</v>
      </c>
      <c r="M91" s="9">
        <f>IF(L91="","",-Inputs!$B$7/2*(COS(RADIANS(B91))*SIN(RADIANS(C91))+COS(RADIANS(C91))*SIN(RADIANS(B91)))/SIN(RADIANS(C91-B91)))</f>
        <v>4980.7743006907749</v>
      </c>
      <c r="N91" s="9">
        <f>IF(L91="","",L91+Inputs!$B$6)</f>
        <v>207.18088432216996</v>
      </c>
      <c r="O91" s="9">
        <f>IF(J91="","",SQRT(Inputs!$B$6^2+(ABS(J91)+Inputs!$B$7/2)^2))</f>
        <v>6555.2461504785824</v>
      </c>
      <c r="P91" s="10" t="str">
        <f>IF(A91="","",IF(AND(Math!P89,Math!AF89),"OK","No solution"))</f>
        <v>OK</v>
      </c>
    </row>
    <row r="92" spans="1:16">
      <c r="A92" s="7">
        <f>Math!A90</f>
        <v>28</v>
      </c>
      <c r="B92" s="8">
        <f>IF(OR(Math!P90=FALSE,Math!A90=""),"",Math!Q90)</f>
        <v>14.286319015819165</v>
      </c>
      <c r="C92" s="8">
        <f>IF(OR(Math!AF90=FALSE,Math!A90=""),"",Math!AG90)</f>
        <v>11.66442756443622</v>
      </c>
      <c r="D92" t="str">
        <f t="shared" si="10"/>
        <v>Left</v>
      </c>
      <c r="E92" s="8">
        <f t="shared" si="11"/>
        <v>14.286319015819165</v>
      </c>
      <c r="F92" s="8">
        <f t="shared" si="12"/>
        <v>11.66442756443622</v>
      </c>
      <c r="G92" s="8">
        <f>IF(OR(E92="",F92=""),"",IF(OR(ABS(E92)&lt;0.000000001,ABS(F92)&lt;0.000000001),"",((1/TAN(F92*PI()/180))-(1/TAN(E92*PI()/180)))/(Inputs!$B$7/Inputs!$B$6)*100))</f>
        <v>119.19525704862926</v>
      </c>
      <c r="H92" s="9">
        <f>IF(E92="","",Inputs!$B$6/TAN(E92*PI()/180)+Inputs!$B$7/2)</f>
        <v>5605.1959593265374</v>
      </c>
      <c r="I92" s="9">
        <f>IF(F92="","",Inputs!$B$6/TAN(F92*PI()/180)-Inputs!$B$7/2)</f>
        <v>5797.14852981283</v>
      </c>
      <c r="J92" s="9">
        <f t="shared" si="13"/>
        <v>5701.1722445696832</v>
      </c>
      <c r="K92" s="9">
        <f t="shared" si="14"/>
        <v>191.95257048629264</v>
      </c>
      <c r="L92" s="9">
        <f>IF(OR(B92="",C92="",ABS(SIN(RADIANS(C92-B92)))&lt;0.000000001),"",Inputs!$B$7*SIN(RADIANS(B92))*SIN(RADIANS(C92))/SIN(RADIANS(C92-B92)))</f>
        <v>-1090.6474235544672</v>
      </c>
      <c r="M92" s="9">
        <f>IF(L92="","",-Inputs!$B$7/2*(COS(RADIANS(B92))*SIN(RADIANS(C92))+COS(RADIANS(C92))*SIN(RADIANS(B92)))/SIN(RADIANS(C92-B92)))</f>
        <v>4783.0529382924342</v>
      </c>
      <c r="N92" s="9">
        <f>IF(L92="","",L92+Inputs!$B$6)</f>
        <v>209.3525764455328</v>
      </c>
      <c r="O92" s="9">
        <f>IF(J92="","",SQRT(Inputs!$B$6^2+(ABS(J92)+Inputs!$B$7/2)^2))</f>
        <v>6335.9716860811022</v>
      </c>
      <c r="P92" s="10" t="str">
        <f>IF(A92="","",IF(AND(Math!P90,Math!AF90),"OK","No solution"))</f>
        <v>OK</v>
      </c>
    </row>
    <row r="93" spans="1:16">
      <c r="A93" s="7">
        <f>Math!A91</f>
        <v>29</v>
      </c>
      <c r="B93" s="8">
        <f>IF(OR(Math!P91=FALSE,Math!A91=""),"",Math!Q91)</f>
        <v>14.872979785961997</v>
      </c>
      <c r="C93" s="8">
        <f>IF(OR(Math!AF91=FALSE,Math!A91=""),"",Math!AG91)</f>
        <v>12.050782137632183</v>
      </c>
      <c r="D93" t="str">
        <f t="shared" si="10"/>
        <v>Left</v>
      </c>
      <c r="E93" s="8">
        <f t="shared" si="11"/>
        <v>14.872979785961997</v>
      </c>
      <c r="F93" s="8">
        <f t="shared" si="12"/>
        <v>12.050782137632183</v>
      </c>
      <c r="G93" s="8">
        <f>IF(OR(E93="",F93=""),"",IF(OR(ABS(E93)&lt;0.000000001,ABS(F93)&lt;0.000000001),"",((1/TAN(F93*PI()/180))-(1/TAN(E93*PI()/180)))/(Inputs!$B$7/Inputs!$B$6)*100))</f>
        <v>119.44270237883981</v>
      </c>
      <c r="H93" s="9">
        <f>IF(E93="","",Inputs!$B$6/TAN(E93*PI()/180)+Inputs!$B$7/2)</f>
        <v>5395.0480896917488</v>
      </c>
      <c r="I93" s="9">
        <f>IF(F93="","",Inputs!$B$6/TAN(F93*PI()/180)-Inputs!$B$7/2)</f>
        <v>5589.4751134801472</v>
      </c>
      <c r="J93" s="9">
        <f t="shared" si="13"/>
        <v>5492.2616015859476</v>
      </c>
      <c r="K93" s="9">
        <f t="shared" si="14"/>
        <v>194.4270237883984</v>
      </c>
      <c r="L93" s="9">
        <f>IF(OR(B93="",C93="",ABS(SIN(RADIANS(C93-B93)))&lt;0.000000001),"",Inputs!$B$7*SIN(RADIANS(B93))*SIN(RADIANS(C93))/SIN(RADIANS(C93-B93)))</f>
        <v>-1088.3879668736492</v>
      </c>
      <c r="M93" s="9">
        <f>IF(L93="","",-Inputs!$B$7/2*(COS(RADIANS(B93))*SIN(RADIANS(C93))+COS(RADIANS(C93))*SIN(RADIANS(B93)))/SIN(RADIANS(C93-B93)))</f>
        <v>4598.2395677602644</v>
      </c>
      <c r="N93" s="9">
        <f>IF(L93="","",L93+Inputs!$B$6)</f>
        <v>211.61203312635075</v>
      </c>
      <c r="O93" s="9">
        <f>IF(J93="","",SQRT(Inputs!$B$6^2+(ABS(J93)+Inputs!$B$7/2)^2))</f>
        <v>6131.6554943866004</v>
      </c>
      <c r="P93" s="10" t="str">
        <f>IF(A93="","",IF(AND(Math!P91,Math!AF91),"OK","No solution"))</f>
        <v>OK</v>
      </c>
    </row>
    <row r="94" spans="1:16">
      <c r="A94" s="7">
        <f>Math!A92</f>
        <v>30</v>
      </c>
      <c r="B94" s="8">
        <f>IF(OR(Math!P92=FALSE,Math!A92=""),"",Math!Q92)</f>
        <v>15.466511804006489</v>
      </c>
      <c r="C94" s="8">
        <f>IF(OR(Math!AF92=FALSE,Math!A92=""),"",Math!AG92)</f>
        <v>12.435500332547011</v>
      </c>
      <c r="D94" t="str">
        <f t="shared" si="10"/>
        <v>Left</v>
      </c>
      <c r="E94" s="8">
        <f t="shared" si="11"/>
        <v>15.466511804006489</v>
      </c>
      <c r="F94" s="8">
        <f t="shared" si="12"/>
        <v>12.435500332547011</v>
      </c>
      <c r="G94" s="8">
        <f>IF(OR(E94="",F94=""),"",IF(OR(ABS(E94)&lt;0.000000001,ABS(F94)&lt;0.000000001),"",((1/TAN(F94*PI()/180))-(1/TAN(E94*PI()/180)))/(Inputs!$B$7/Inputs!$B$6)*100))</f>
        <v>119.70096755066267</v>
      </c>
      <c r="H94" s="9">
        <f>IF(E94="","",Inputs!$B$6/TAN(E94*PI()/180)+Inputs!$B$7/2)</f>
        <v>5198.3103764144498</v>
      </c>
      <c r="I94" s="9">
        <f>IF(F94="","",Inputs!$B$6/TAN(F94*PI()/180)-Inputs!$B$7/2)</f>
        <v>5395.3200519210759</v>
      </c>
      <c r="J94" s="9">
        <f t="shared" si="13"/>
        <v>5296.8152141677629</v>
      </c>
      <c r="K94" s="9">
        <f t="shared" si="14"/>
        <v>197.00967550662608</v>
      </c>
      <c r="L94" s="9">
        <f>IF(OR(B94="",C94="",ABS(SIN(RADIANS(C94-B94)))&lt;0.000000001),"",Inputs!$B$7*SIN(RADIANS(B94))*SIN(RADIANS(C94))/SIN(RADIANS(C94-B94)))</f>
        <v>-1086.0396758696077</v>
      </c>
      <c r="M94" s="9">
        <f>IF(L94="","",-Inputs!$B$7/2*(COS(RADIANS(B94))*SIN(RADIANS(C94))+COS(RADIANS(C94))*SIN(RADIANS(B94)))/SIN(RADIANS(C94-B94)))</f>
        <v>4425.0395987199718</v>
      </c>
      <c r="N94" s="9">
        <f>IF(L94="","",L94+Inputs!$B$6)</f>
        <v>213.96032413039234</v>
      </c>
      <c r="O94" s="9">
        <f>IF(J94="","",SQRT(Inputs!$B$6^2+(ABS(J94)+Inputs!$B$7/2)^2))</f>
        <v>5940.7968006999572</v>
      </c>
      <c r="P94" s="10" t="str">
        <f>IF(A94="","",IF(AND(Math!P92,Math!AF92),"OK","No solution"))</f>
        <v>OK</v>
      </c>
    </row>
    <row r="95" spans="1:16">
      <c r="A95" s="7">
        <f>Math!A93</f>
        <v>31</v>
      </c>
      <c r="B95" s="8">
        <f>IF(OR(Math!P93=FALSE,Math!A93=""),"",Math!Q93)</f>
        <v>16.067128190598286</v>
      </c>
      <c r="C95" s="8">
        <f>IF(OR(Math!AF93=FALSE,Math!A93=""),"",Math!AG93)</f>
        <v>12.818619977713336</v>
      </c>
      <c r="D95" t="str">
        <f t="shared" si="10"/>
        <v>Left</v>
      </c>
      <c r="E95" s="8">
        <f t="shared" si="11"/>
        <v>16.067128190598286</v>
      </c>
      <c r="F95" s="8">
        <f t="shared" si="12"/>
        <v>12.818619977713336</v>
      </c>
      <c r="G95" s="8">
        <f>IF(OR(E95="",F95=""),"",IF(OR(ABS(E95)&lt;0.000000001,ABS(F95)&lt;0.000000001),"",((1/TAN(F95*PI()/180))-(1/TAN(E95*PI()/180)))/(Inputs!$B$7/Inputs!$B$6)*100))</f>
        <v>119.97031186518281</v>
      </c>
      <c r="H95" s="9">
        <f>IF(E95="","",Inputs!$B$6/TAN(E95*PI()/180)+Inputs!$B$7/2)</f>
        <v>5013.6733387283102</v>
      </c>
      <c r="I95" s="9">
        <f>IF(F95="","",Inputs!$B$6/TAN(F95*PI()/180)-Inputs!$B$7/2)</f>
        <v>5213.3764573801382</v>
      </c>
      <c r="J95" s="9">
        <f t="shared" si="13"/>
        <v>5113.5248980542237</v>
      </c>
      <c r="K95" s="9">
        <f t="shared" si="14"/>
        <v>199.70311865182794</v>
      </c>
      <c r="L95" s="9">
        <f>IF(OR(B95="",C95="",ABS(SIN(RADIANS(C95-B95)))&lt;0.000000001),"",Inputs!$B$7*SIN(RADIANS(B95))*SIN(RADIANS(C95))/SIN(RADIANS(C95-B95)))</f>
        <v>-1083.6014175414341</v>
      </c>
      <c r="M95" s="9">
        <f>IF(L95="","",-Inputs!$B$7/2*(COS(RADIANS(B95))*SIN(RADIANS(C95))+COS(RADIANS(C95))*SIN(RADIANS(B95)))/SIN(RADIANS(C95-B95)))</f>
        <v>4262.3252524345953</v>
      </c>
      <c r="N95" s="9">
        <f>IF(L95="","",L95+Inputs!$B$6)</f>
        <v>216.3985824585659</v>
      </c>
      <c r="O95" s="9">
        <f>IF(J95="","",SQRT(Inputs!$B$6^2+(ABS(J95)+Inputs!$B$7/2)^2))</f>
        <v>5762.0883177086662</v>
      </c>
      <c r="P95" s="10" t="str">
        <f>IF(A95="","",IF(AND(Math!P93,Math!AF93),"OK","No solution"))</f>
        <v>OK</v>
      </c>
    </row>
    <row r="96" spans="1:16">
      <c r="A96" s="7">
        <f>Math!A94</f>
        <v>32</v>
      </c>
      <c r="B96" s="8">
        <f>IF(OR(Math!P94=FALSE,Math!A94=""),"",Math!Q94)</f>
        <v>16.675051651039816</v>
      </c>
      <c r="C96" s="8">
        <f>IF(OR(Math!AF94=FALSE,Math!A94=""),"",Math!AG94)</f>
        <v>13.200178185777748</v>
      </c>
      <c r="D96" t="str">
        <f t="shared" si="10"/>
        <v>Left</v>
      </c>
      <c r="E96" s="8">
        <f t="shared" si="11"/>
        <v>16.675051651039816</v>
      </c>
      <c r="F96" s="8">
        <f t="shared" si="12"/>
        <v>13.200178185777748</v>
      </c>
      <c r="G96" s="8">
        <f>IF(OR(E96="",F96=""),"",IF(OR(ABS(E96)&lt;0.000000001,ABS(F96)&lt;0.000000001),"",((1/TAN(F96*PI()/180))-(1/TAN(E96*PI()/180)))/(Inputs!$B$7/Inputs!$B$6)*100))</f>
        <v>120.25101099122652</v>
      </c>
      <c r="H96" s="9">
        <f>IF(E96="","",Inputs!$B$6/TAN(E96*PI()/180)+Inputs!$B$7/2)</f>
        <v>4839.9906414711804</v>
      </c>
      <c r="I96" s="9">
        <f>IF(F96="","",Inputs!$B$6/TAN(F96*PI()/180)-Inputs!$B$7/2)</f>
        <v>5042.5007513834453</v>
      </c>
      <c r="J96" s="9">
        <f t="shared" si="13"/>
        <v>4941.2456964273133</v>
      </c>
      <c r="K96" s="9">
        <f t="shared" si="14"/>
        <v>202.51010991226485</v>
      </c>
      <c r="L96" s="9">
        <f>IF(OR(B96="",C96="",ABS(SIN(RADIANS(C96-B96)))&lt;0.000000001),"",Inputs!$B$7*SIN(RADIANS(B96))*SIN(RADIANS(C96))/SIN(RADIANS(C96-B96)))</f>
        <v>-1081.0719920640402</v>
      </c>
      <c r="M96" s="9">
        <f>IF(L96="","",-Inputs!$B$7/2*(COS(RADIANS(B96))*SIN(RADIANS(C96))+COS(RADIANS(C96))*SIN(RADIANS(B96)))/SIN(RADIANS(C96-B96)))</f>
        <v>4109.1094833188763</v>
      </c>
      <c r="N96" s="9">
        <f>IF(L96="","",L96+Inputs!$B$6)</f>
        <v>218.92800793595984</v>
      </c>
      <c r="O96" s="9">
        <f>IF(J96="","",SQRT(Inputs!$B$6^2+(ABS(J96)+Inputs!$B$7/2)^2))</f>
        <v>5594.3860010629187</v>
      </c>
      <c r="P96" s="10" t="str">
        <f>IF(A96="","",IF(AND(Math!P94,Math!AF94),"OK","No solution"))</f>
        <v>OK</v>
      </c>
    </row>
    <row r="97" spans="1:16">
      <c r="A97" s="7">
        <f>Math!A95</f>
        <v>33</v>
      </c>
      <c r="B97" s="8">
        <f>IF(OR(Math!P95=FALSE,Math!A95=""),"",Math!Q95)</f>
        <v>17.290515095184379</v>
      </c>
      <c r="C97" s="8">
        <f>IF(OR(Math!AF95=FALSE,Math!A95=""),"",Math!AG95)</f>
        <v>13.580211377489961</v>
      </c>
      <c r="D97" t="str">
        <f t="shared" si="10"/>
        <v>Left</v>
      </c>
      <c r="E97" s="8">
        <f t="shared" si="11"/>
        <v>17.290515095184379</v>
      </c>
      <c r="F97" s="8">
        <f t="shared" si="12"/>
        <v>13.580211377489961</v>
      </c>
      <c r="G97" s="8">
        <f>IF(OR(E97="",F97=""),"",IF(OR(ABS(E97)&lt;0.000000001,ABS(F97)&lt;0.000000001),"",((1/TAN(F97*PI()/180))-(1/TAN(E97*PI()/180)))/(Inputs!$B$7/Inputs!$B$6)*100))</f>
        <v>120.54335802788067</v>
      </c>
      <c r="H97" s="9">
        <f>IF(E97="","",Inputs!$B$6/TAN(E97*PI()/180)+Inputs!$B$7/2)</f>
        <v>4676.2543416293229</v>
      </c>
      <c r="I97" s="9">
        <f>IF(F97="","",Inputs!$B$6/TAN(F97*PI()/180)-Inputs!$B$7/2)</f>
        <v>4881.6879219081293</v>
      </c>
      <c r="J97" s="9">
        <f t="shared" si="13"/>
        <v>4778.9711317687261</v>
      </c>
      <c r="K97" s="9">
        <f t="shared" si="14"/>
        <v>205.4335802788064</v>
      </c>
      <c r="L97" s="9">
        <f>IF(OR(B97="",C97="",ABS(SIN(RADIANS(C97-B97)))&lt;0.000000001),"",Inputs!$B$7*SIN(RADIANS(B97))*SIN(RADIANS(C97))/SIN(RADIANS(C97-B97)))</f>
        <v>-1078.4501288733964</v>
      </c>
      <c r="M97" s="9">
        <f>IF(L97="","",-Inputs!$B$7/2*(COS(RADIANS(B97))*SIN(RADIANS(C97))+COS(RADIANS(C97))*SIN(RADIANS(B97)))/SIN(RADIANS(C97-B97)))</f>
        <v>3964.524640721711</v>
      </c>
      <c r="N97" s="9">
        <f>IF(L97="","",L97+Inputs!$B$6)</f>
        <v>221.54987112660365</v>
      </c>
      <c r="O97" s="9">
        <f>IF(J97="","",SQRT(Inputs!$B$6^2+(ABS(J97)+Inputs!$B$7/2)^2))</f>
        <v>5436.6843029596248</v>
      </c>
      <c r="P97" s="10" t="str">
        <f>IF(A97="","",IF(AND(Math!P95,Math!AF95),"OK","No solution"))</f>
        <v>OK</v>
      </c>
    </row>
    <row r="98" spans="1:16">
      <c r="A98" s="7">
        <f>Math!A96</f>
        <v>34</v>
      </c>
      <c r="B98" s="8">
        <f>IF(OR(Math!P96=FALSE,Math!A96=""),"",Math!Q96)</f>
        <v>17.913762310431675</v>
      </c>
      <c r="C98" s="8">
        <f>IF(OR(Math!AF96=FALSE,Math!A96=""),"",Math!AG96)</f>
        <v>13.958755304863567</v>
      </c>
      <c r="D98" t="str">
        <f t="shared" si="10"/>
        <v>Left</v>
      </c>
      <c r="E98" s="8">
        <f t="shared" si="11"/>
        <v>17.913762310431675</v>
      </c>
      <c r="F98" s="8">
        <f t="shared" si="12"/>
        <v>13.958755304863567</v>
      </c>
      <c r="G98" s="8">
        <f>IF(OR(E98="",F98=""),"",IF(OR(ABS(E98)&lt;0.000000001,ABS(F98)&lt;0.000000001),"",((1/TAN(F98*PI()/180))-(1/TAN(E98*PI()/180)))/(Inputs!$B$7/Inputs!$B$6)*100))</f>
        <v>120.84766466805652</v>
      </c>
      <c r="H98" s="9">
        <f>IF(E98="","",Inputs!$B$6/TAN(E98*PI()/180)+Inputs!$B$7/2)</f>
        <v>4521.5745002059666</v>
      </c>
      <c r="I98" s="9">
        <f>IF(F98="","",Inputs!$B$6/TAN(F98*PI()/180)-Inputs!$B$7/2)</f>
        <v>4730.0511468865334</v>
      </c>
      <c r="J98" s="9">
        <f t="shared" si="13"/>
        <v>4625.81282354625</v>
      </c>
      <c r="K98" s="9">
        <f t="shared" si="14"/>
        <v>208.47664668056677</v>
      </c>
      <c r="L98" s="9">
        <f>IF(OR(B98="",C98="",ABS(SIN(RADIANS(C98-B98)))&lt;0.000000001),"",Inputs!$B$7*SIN(RADIANS(B98))*SIN(RADIANS(C98))/SIN(RADIANS(C98-B98)))</f>
        <v>-1075.7344823922163</v>
      </c>
      <c r="M98" s="9">
        <f>IF(L98="","",-Inputs!$B$7/2*(COS(RADIANS(B98))*SIN(RADIANS(C98))+COS(RADIANS(C98))*SIN(RADIANS(B98)))/SIN(RADIANS(C98-B98)))</f>
        <v>3827.8048949083086</v>
      </c>
      <c r="N98" s="9">
        <f>IF(L98="","",L98+Inputs!$B$6)</f>
        <v>224.26551760778375</v>
      </c>
      <c r="O98" s="9">
        <f>IF(J98="","",SQRT(Inputs!$B$6^2+(ABS(J98)+Inputs!$B$7/2)^2))</f>
        <v>5288.0957916844864</v>
      </c>
      <c r="P98" s="10" t="str">
        <f>IF(A98="","",IF(AND(Math!P96,Math!AF96),"OK","No solution"))</f>
        <v>OK</v>
      </c>
    </row>
    <row r="99" spans="1:16">
      <c r="A99" s="7">
        <f>Math!A97</f>
        <v>35</v>
      </c>
      <c r="B99" s="8">
        <f>IF(OR(Math!P97=FALSE,Math!A97=""),"",Math!Q97)</f>
        <v>18.545048693576856</v>
      </c>
      <c r="C99" s="8">
        <f>IF(OR(Math!AF97=FALSE,Math!A97=""),"",Math!AG97)</f>
        <v>14.335845073548183</v>
      </c>
      <c r="D99" t="str">
        <f t="shared" si="10"/>
        <v>Left</v>
      </c>
      <c r="E99" s="8">
        <f t="shared" si="11"/>
        <v>18.545048693576856</v>
      </c>
      <c r="F99" s="8">
        <f t="shared" si="12"/>
        <v>14.335845073548183</v>
      </c>
      <c r="G99" s="8">
        <f>IF(OR(E99="",F99=""),"",IF(OR(ABS(E99)&lt;0.000000001,ABS(F99)&lt;0.000000001),"",((1/TAN(F99*PI()/180))-(1/TAN(E99*PI()/180)))/(Inputs!$B$7/Inputs!$B$6)*100))</f>
        <v>121.16426247430709</v>
      </c>
      <c r="H99" s="9">
        <f>IF(E99="","",Inputs!$B$6/TAN(E99*PI()/180)+Inputs!$B$7/2)</f>
        <v>4375.1622860366151</v>
      </c>
      <c r="I99" s="9">
        <f>IF(F99="","",Inputs!$B$6/TAN(F99*PI()/180)-Inputs!$B$7/2)</f>
        <v>4586.8049107796869</v>
      </c>
      <c r="J99" s="9">
        <f t="shared" si="13"/>
        <v>4480.983598408151</v>
      </c>
      <c r="K99" s="9">
        <f t="shared" si="14"/>
        <v>211.64262474307179</v>
      </c>
      <c r="L99" s="9">
        <f>IF(OR(B99="",C99="",ABS(SIN(RADIANS(C99-B99)))&lt;0.000000001),"",Inputs!$B$7*SIN(RADIANS(B99))*SIN(RADIANS(C99))/SIN(RADIANS(C99-B99)))</f>
        <v>-1072.9236273572533</v>
      </c>
      <c r="M99" s="9">
        <f>IF(L99="","",-Inputs!$B$7/2*(COS(RADIANS(B99))*SIN(RADIANS(C99))+COS(RADIANS(C99))*SIN(RADIANS(B99)))/SIN(RADIANS(C99-B99)))</f>
        <v>3698.2716742557159</v>
      </c>
      <c r="N99" s="9">
        <f>IF(L99="","",L99+Inputs!$B$6)</f>
        <v>227.07637264274672</v>
      </c>
      <c r="O99" s="9">
        <f>IF(J99="","",SQRT(Inputs!$B$6^2+(ABS(J99)+Inputs!$B$7/2)^2))</f>
        <v>5147.8342638056065</v>
      </c>
      <c r="P99" s="10" t="str">
        <f>IF(A99="","",IF(AND(Math!P97,Math!AF97),"OK","No solution"))</f>
        <v>OK</v>
      </c>
    </row>
    <row r="100" spans="1:16">
      <c r="A100" s="7">
        <f>Math!A98</f>
        <v>36</v>
      </c>
      <c r="B100" s="8">
        <f>IF(OR(Math!P98=FALSE,Math!A98=""),"",Math!Q98)</f>
        <v>19.184642048019121</v>
      </c>
      <c r="C100" s="8">
        <f>IF(OR(Math!AF98=FALSE,Math!A98=""),"",Math!AG98)</f>
        <v>14.711515164449178</v>
      </c>
      <c r="D100" t="str">
        <f t="shared" ref="D100:D131" si="15">IF(OR(B100="",C100=""),"",IF(ABS((B100+C100)/2)&lt;0.0001,"Straight",IF((B100+C100)/2&gt;0,"Left","Right")))</f>
        <v>Left</v>
      </c>
      <c r="E100" s="8">
        <f t="shared" ref="E100:E131" si="16">IF(OR(B100="",C100="",D100="Straight"),"",IF(D100="Left",ABS(B100),ABS(C100)))</f>
        <v>19.184642048019121</v>
      </c>
      <c r="F100" s="8">
        <f t="shared" si="12"/>
        <v>14.711515164449178</v>
      </c>
      <c r="G100" s="8">
        <f>IF(OR(E100="",F100=""),"",IF(OR(ABS(E100)&lt;0.000000001,ABS(F100)&lt;0.000000001),"",((1/TAN(F100*PI()/180))-(1/TAN(E100*PI()/180)))/(Inputs!$B$7/Inputs!$B$6)*100))</f>
        <v>121.49350427961183</v>
      </c>
      <c r="H100" s="9">
        <f>IF(E100="","",Inputs!$B$6/TAN(E100*PI()/180)+Inputs!$B$7/2)</f>
        <v>4236.3158922180673</v>
      </c>
      <c r="I100" s="9">
        <f>IF(F100="","",Inputs!$B$6/TAN(F100*PI()/180)-Inputs!$B$7/2)</f>
        <v>4451.2509350141854</v>
      </c>
      <c r="J100" s="9">
        <f t="shared" ref="J100:J131" si="17">IF(OR(H100="",I100=""),"",AVERAGE(H100,I100))</f>
        <v>4343.7834136161264</v>
      </c>
      <c r="K100" s="9">
        <f t="shared" si="14"/>
        <v>214.93504279611807</v>
      </c>
      <c r="L100" s="9">
        <f>IF(OR(B100="",C100="",ABS(SIN(RADIANS(C100-B100)))&lt;0.000000001),"",Inputs!$B$7*SIN(RADIANS(B100))*SIN(RADIANS(C100))/SIN(RADIANS(C100-B100)))</f>
        <v>-1070.0160537044915</v>
      </c>
      <c r="M100" s="9">
        <f>IF(L100="","",-Inputs!$B$7/2*(COS(RADIANS(B100))*SIN(RADIANS(C100))+COS(RADIANS(C100))*SIN(RADIANS(B100)))/SIN(RADIANS(C100-B100)))</f>
        <v>3575.3215279881156</v>
      </c>
      <c r="N100" s="9">
        <f>IF(L100="","",L100+Inputs!$B$6)</f>
        <v>229.98394629550853</v>
      </c>
      <c r="O100" s="9">
        <f>IF(J100="","",SQRT(Inputs!$B$6^2+(ABS(J100)+Inputs!$B$7/2)^2))</f>
        <v>5015.2006697661354</v>
      </c>
      <c r="P100" s="10" t="str">
        <f>IF(A100="","",IF(AND(Math!P98,Math!AF98),"OK","No solution"))</f>
        <v>OK</v>
      </c>
    </row>
    <row r="101" spans="1:16">
      <c r="A101" s="7">
        <f>Math!A99</f>
        <v>37</v>
      </c>
      <c r="B101" s="8">
        <f>IF(OR(Math!P99=FALSE,Math!A99=""),"",Math!Q99)</f>
        <v>19.832823453713928</v>
      </c>
      <c r="C101" s="8">
        <f>IF(OR(Math!AF99=FALSE,Math!A99=""),"",Math!AG99)</f>
        <v>15.085799454631243</v>
      </c>
      <c r="D101" t="str">
        <f t="shared" si="15"/>
        <v>Left</v>
      </c>
      <c r="E101" s="8">
        <f t="shared" si="16"/>
        <v>19.832823453713928</v>
      </c>
      <c r="F101" s="8">
        <f t="shared" si="12"/>
        <v>15.085799454631243</v>
      </c>
      <c r="G101" s="8">
        <f>IF(OR(E101="",F101=""),"",IF(OR(ABS(E101)&lt;0.000000001,ABS(F101)&lt;0.000000001),"",((1/TAN(F101*PI()/180))-(1/TAN(E101*PI()/180)))/(Inputs!$B$7/Inputs!$B$6)*100))</f>
        <v>121.83576572759173</v>
      </c>
      <c r="H101" s="9">
        <f>IF(E101="","",Inputs!$B$6/TAN(E101*PI()/180)+Inputs!$B$7/2)</f>
        <v>4104.4087326550998</v>
      </c>
      <c r="I101" s="9">
        <f>IF(F101="","",Inputs!$B$6/TAN(F101*PI()/180)-Inputs!$B$7/2)</f>
        <v>4322.7663899310164</v>
      </c>
      <c r="J101" s="9">
        <f t="shared" si="17"/>
        <v>4213.5875612930577</v>
      </c>
      <c r="K101" s="9">
        <f t="shared" si="14"/>
        <v>218.35765727591661</v>
      </c>
      <c r="L101" s="9">
        <f>IF(OR(B101="",C101="",ABS(SIN(RADIANS(C101-B101)))&lt;0.000000001),"",Inputs!$B$7*SIN(RADIANS(B101))*SIN(RADIANS(C101))/SIN(RADIANS(C101-B101)))</f>
        <v>-1067.0101609626065</v>
      </c>
      <c r="M101" s="9">
        <f>IF(L101="","",-Inputs!$B$7/2*(COS(RADIANS(B101))*SIN(RADIANS(C101))+COS(RADIANS(C101))*SIN(RADIANS(B101)))/SIN(RADIANS(C101-B101)))</f>
        <v>3458.4159553887253</v>
      </c>
      <c r="N101" s="9">
        <f>IF(L101="","",L101+Inputs!$B$6)</f>
        <v>232.98983903739349</v>
      </c>
      <c r="O101" s="9">
        <f>IF(J101="","",SQRT(Inputs!$B$6^2+(ABS(J101)+Inputs!$B$7/2)^2))</f>
        <v>4889.5713204714211</v>
      </c>
      <c r="P101" s="10" t="str">
        <f>IF(A101="","",IF(AND(Math!P99,Math!AF99),"OK","No solution"))</f>
        <v>OK</v>
      </c>
    </row>
    <row r="102" spans="1:16">
      <c r="A102" s="7">
        <f>Math!A100</f>
        <v>38</v>
      </c>
      <c r="B102" s="8">
        <f>IF(OR(Math!P100=FALSE,Math!A100=""),"",Math!Q100)</f>
        <v>20.489888218266518</v>
      </c>
      <c r="C102" s="8">
        <f>IF(OR(Math!AF100=FALSE,Math!A100=""),"",Math!AG100)</f>
        <v>15.458731237538212</v>
      </c>
      <c r="D102" t="str">
        <f t="shared" si="15"/>
        <v>Left</v>
      </c>
      <c r="E102" s="8">
        <f t="shared" si="16"/>
        <v>20.489888218266518</v>
      </c>
      <c r="F102" s="8">
        <f t="shared" si="12"/>
        <v>15.458731237538212</v>
      </c>
      <c r="G102" s="8">
        <f>IF(OR(E102="",F102=""),"",IF(OR(ABS(E102)&lt;0.000000001,ABS(F102)&lt;0.000000001),"",((1/TAN(F102*PI()/180))-(1/TAN(E102*PI()/180)))/(Inputs!$B$7/Inputs!$B$6)*100))</f>
        <v>122.19144696872108</v>
      </c>
      <c r="H102" s="9">
        <f>IF(E102="","",Inputs!$B$6/TAN(E102*PI()/180)+Inputs!$B$7/2)</f>
        <v>3978.8794982823815</v>
      </c>
      <c r="I102" s="9">
        <f>IF(F102="","",Inputs!$B$6/TAN(F102*PI()/180)-Inputs!$B$7/2)</f>
        <v>4200.7939679695928</v>
      </c>
      <c r="J102" s="9">
        <f t="shared" si="17"/>
        <v>4089.8367331259869</v>
      </c>
      <c r="K102" s="9">
        <f t="shared" si="14"/>
        <v>221.91446968721129</v>
      </c>
      <c r="L102" s="9">
        <f>IF(OR(B102="",C102="",ABS(SIN(RADIANS(C102-B102)))&lt;0.000000001),"",Inputs!$B$7*SIN(RADIANS(B102))*SIN(RADIANS(C102))/SIN(RADIANS(C102-B102)))</f>
        <v>-1063.9042520977569</v>
      </c>
      <c r="M102" s="9">
        <f>IF(L102="","",-Inputs!$B$7/2*(COS(RADIANS(B102))*SIN(RADIANS(C102))+COS(RADIANS(C102))*SIN(RADIANS(B102)))/SIN(RADIANS(C102-B102)))</f>
        <v>3347.0728390448744</v>
      </c>
      <c r="N102" s="9">
        <f>IF(L102="","",L102+Inputs!$B$6)</f>
        <v>236.09574790224315</v>
      </c>
      <c r="O102" s="9">
        <f>IF(J102="","",SQRT(Inputs!$B$6^2+(ABS(J102)+Inputs!$B$7/2)^2))</f>
        <v>4770.3879545329046</v>
      </c>
      <c r="P102" s="10" t="str">
        <f>IF(A102="","",IF(AND(Math!P100,Math!AF100),"OK","No solution"))</f>
        <v>OK</v>
      </c>
    </row>
    <row r="103" spans="1:16">
      <c r="A103" s="7">
        <f>Math!A101</f>
        <v>39</v>
      </c>
      <c r="B103" s="8">
        <f>IF(OR(Math!P101=FALSE,Math!A101=""),"",Math!Q101)</f>
        <v>21.156146918745762</v>
      </c>
      <c r="C103" s="8">
        <f>IF(OR(Math!AF101=FALSE,Math!A101=""),"",Math!AG101)</f>
        <v>15.830343242561698</v>
      </c>
      <c r="D103" t="str">
        <f t="shared" si="15"/>
        <v>Left</v>
      </c>
      <c r="E103" s="8">
        <f t="shared" si="16"/>
        <v>21.156146918745762</v>
      </c>
      <c r="F103" s="8">
        <f t="shared" si="12"/>
        <v>15.830343242561698</v>
      </c>
      <c r="G103" s="8">
        <f>IF(OR(E103="",F103=""),"",IF(OR(ABS(E103)&lt;0.000000001,ABS(F103)&lt;0.000000001),"",((1/TAN(F103*PI()/180))-(1/TAN(E103*PI()/180)))/(Inputs!$B$7/Inputs!$B$6)*100))</f>
        <v>122.56097453144561</v>
      </c>
      <c r="H103" s="9">
        <f>IF(E103="","",Inputs!$B$6/TAN(E103*PI()/180)+Inputs!$B$7/2)</f>
        <v>3859.2237387056807</v>
      </c>
      <c r="I103" s="9">
        <f>IF(F103="","",Inputs!$B$6/TAN(F103*PI()/180)-Inputs!$B$7/2)</f>
        <v>4084.8334840201369</v>
      </c>
      <c r="J103" s="9">
        <f t="shared" si="17"/>
        <v>3972.028611362909</v>
      </c>
      <c r="K103" s="9">
        <f t="shared" si="14"/>
        <v>225.60974531445618</v>
      </c>
      <c r="L103" s="9">
        <f>IF(OR(B103="",C103="",ABS(SIN(RADIANS(C103-B103)))&lt;0.000000001),"",Inputs!$B$7*SIN(RADIANS(B103))*SIN(RADIANS(C103))/SIN(RADIANS(C103-B103)))</f>
        <v>-1060.696526745108</v>
      </c>
      <c r="M103" s="9">
        <f>IF(L103="","",-Inputs!$B$7/2*(COS(RADIANS(B103))*SIN(RADIANS(C103))+COS(RADIANS(C103))*SIN(RADIANS(B103)))/SIN(RADIANS(C103-B103)))</f>
        <v>3240.8591940037177</v>
      </c>
      <c r="N103" s="9">
        <f>IF(L103="","",L103+Inputs!$B$6)</f>
        <v>239.30347325489197</v>
      </c>
      <c r="O103" s="9">
        <f>IF(J103="","",SQRT(Inputs!$B$6^2+(ABS(J103)+Inputs!$B$7/2)^2))</f>
        <v>4657.1493320322534</v>
      </c>
      <c r="P103" s="10" t="str">
        <f>IF(A103="","",IF(AND(Math!P101,Math!AF101),"OK","No solution"))</f>
        <v>OK</v>
      </c>
    </row>
    <row r="104" spans="1:16">
      <c r="A104" s="7">
        <f>Math!A102</f>
        <v>40</v>
      </c>
      <c r="B104" s="8">
        <f>IF(OR(Math!P102=FALSE,Math!A102=""),"",Math!Q102)</f>
        <v>21.831926545172564</v>
      </c>
      <c r="C104" s="8">
        <f>IF(OR(Math!AF102=FALSE,Math!A102=""),"",Math!AG102)</f>
        <v>16.200667653988138</v>
      </c>
      <c r="D104" t="str">
        <f t="shared" si="15"/>
        <v>Left</v>
      </c>
      <c r="E104" s="8">
        <f t="shared" si="16"/>
        <v>21.831926545172564</v>
      </c>
      <c r="F104" s="8">
        <f t="shared" si="12"/>
        <v>16.200667653988138</v>
      </c>
      <c r="G104" s="8">
        <f>IF(OR(E104="",F104=""),"",IF(OR(ABS(E104)&lt;0.000000001,ABS(F104)&lt;0.000000001),"",((1/TAN(F104*PI()/180))-(1/TAN(E104*PI()/180)))/(Inputs!$B$7/Inputs!$B$6)*100))</f>
        <v>122.94480338992746</v>
      </c>
      <c r="H104" s="9">
        <f>IF(E104="","",Inputs!$B$6/TAN(E104*PI()/180)+Inputs!$B$7/2)</f>
        <v>3744.9867017920328</v>
      </c>
      <c r="I104" s="9">
        <f>IF(F104="","",Inputs!$B$6/TAN(F104*PI()/180)-Inputs!$B$7/2)</f>
        <v>3974.4347356913077</v>
      </c>
      <c r="J104" s="9">
        <f t="shared" si="17"/>
        <v>3859.7107187416705</v>
      </c>
      <c r="K104" s="9">
        <f t="shared" si="14"/>
        <v>229.44803389927483</v>
      </c>
      <c r="L104" s="9">
        <f>IF(OR(B104="",C104="",ABS(SIN(RADIANS(C104-B104)))&lt;0.000000001),"",Inputs!$B$7*SIN(RADIANS(B104))*SIN(RADIANS(C104))/SIN(RADIANS(C104-B104)))</f>
        <v>-1057.3850737529476</v>
      </c>
      <c r="M104" s="9">
        <f>IF(L104="","",-Inputs!$B$7/2*(COS(RADIANS(B104))*SIN(RADIANS(C104))+COS(RADIANS(C104))*SIN(RADIANS(B104)))/SIN(RADIANS(C104-B104)))</f>
        <v>3139.3850023090017</v>
      </c>
      <c r="N104" s="9">
        <f>IF(L104="","",L104+Inputs!$B$6)</f>
        <v>242.61492624705238</v>
      </c>
      <c r="O104" s="9">
        <f>IF(J104="","",SQRT(Inputs!$B$6^2+(ABS(J104)+Inputs!$B$7/2)^2))</f>
        <v>4549.4040874724478</v>
      </c>
      <c r="P104" s="10" t="str">
        <f>IF(A104="","",IF(AND(Math!P102,Math!AF102),"OK","No solution"))</f>
        <v>OK</v>
      </c>
    </row>
  </sheetData>
  <mergeCells count="1">
    <mergeCell ref="A1:P1"/>
  </mergeCells>
  <phoneticPr fontId="7" type="noConversion"/>
  <conditionalFormatting sqref="G4:G1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104">
    <cfRule type="expression" dxfId="0" priority="2">
      <formula>P4="No solution"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sqref="A1:F1"/>
    </sheetView>
  </sheetViews>
  <sheetFormatPr defaultRowHeight="13.5"/>
  <cols>
    <col min="1" max="1" width="6" customWidth="1"/>
    <col min="2" max="2" width="90" customWidth="1"/>
  </cols>
  <sheetData>
    <row r="1" spans="1:6" ht="17.649999999999999">
      <c r="A1" s="15" t="s">
        <v>132</v>
      </c>
      <c r="B1" s="15"/>
      <c r="C1" s="15"/>
      <c r="D1" s="15"/>
      <c r="E1" s="15"/>
      <c r="F1" s="15"/>
    </row>
    <row r="3" spans="1:6" ht="16.899999999999999" customHeight="1">
      <c r="A3" s="11" t="s">
        <v>133</v>
      </c>
      <c r="B3" s="5" t="s">
        <v>134</v>
      </c>
    </row>
    <row r="4" spans="1:6" ht="17" customHeight="1">
      <c r="A4" s="11" t="s">
        <v>135</v>
      </c>
      <c r="B4" s="5" t="s">
        <v>136</v>
      </c>
    </row>
    <row r="5" spans="1:6" ht="17" customHeight="1">
      <c r="A5" s="11" t="s">
        <v>137</v>
      </c>
      <c r="B5" s="5" t="s">
        <v>138</v>
      </c>
    </row>
    <row r="6" spans="1:6" ht="30.4" customHeight="1">
      <c r="A6" s="11" t="s">
        <v>139</v>
      </c>
      <c r="B6" s="5" t="s">
        <v>140</v>
      </c>
    </row>
    <row r="7" spans="1:6" ht="17" customHeight="1">
      <c r="A7" s="11" t="s">
        <v>141</v>
      </c>
      <c r="B7" s="5" t="s">
        <v>142</v>
      </c>
    </row>
    <row r="8" spans="1:6" ht="27" customHeight="1">
      <c r="A8" s="11" t="s">
        <v>143</v>
      </c>
      <c r="B8" s="5" t="s">
        <v>144</v>
      </c>
    </row>
    <row r="9" spans="1:6" ht="17" customHeight="1">
      <c r="A9" s="11" t="s">
        <v>145</v>
      </c>
      <c r="B9" s="5" t="s">
        <v>146</v>
      </c>
    </row>
    <row r="10" spans="1:6" ht="31.5" customHeight="1">
      <c r="A10" s="11" t="s">
        <v>147</v>
      </c>
      <c r="B10" s="5" t="s">
        <v>148</v>
      </c>
    </row>
    <row r="11" spans="1:6" ht="33.75" customHeight="1">
      <c r="A11" s="11" t="s">
        <v>149</v>
      </c>
      <c r="B11" s="5" t="s">
        <v>150</v>
      </c>
    </row>
  </sheetData>
  <mergeCells count="1">
    <mergeCell ref="A1:F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A4" sqref="A4"/>
    </sheetView>
  </sheetViews>
  <sheetFormatPr defaultRowHeight="13.5"/>
  <sheetData>
    <row r="1" spans="1:3" ht="13.9">
      <c r="A1" s="16" t="s">
        <v>151</v>
      </c>
      <c r="B1" s="16"/>
      <c r="C1" s="16"/>
    </row>
    <row r="3" spans="1:3" ht="13.9">
      <c r="A3" s="1" t="s">
        <v>152</v>
      </c>
      <c r="B3" s="1" t="s">
        <v>153</v>
      </c>
    </row>
    <row r="4" spans="1:3">
      <c r="A4" t="s">
        <v>154</v>
      </c>
      <c r="B4" t="s">
        <v>155</v>
      </c>
    </row>
    <row r="5" spans="1:3">
      <c r="A5" t="s">
        <v>156</v>
      </c>
      <c r="B5" t="s">
        <v>157</v>
      </c>
    </row>
  </sheetData>
  <mergeCells count="1">
    <mergeCell ref="A1:C1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E02F-CCB5-41E8-A471-5805725138D9}">
  <dimension ref="A1:K64"/>
  <sheetViews>
    <sheetView tabSelected="1" workbookViewId="0">
      <selection activeCell="B4" sqref="B4"/>
    </sheetView>
  </sheetViews>
  <sheetFormatPr defaultRowHeight="13.5"/>
  <sheetData>
    <row r="1" spans="1:11">
      <c r="A1" s="7"/>
      <c r="B1" s="8"/>
      <c r="C1" s="8"/>
      <c r="E1" s="8"/>
      <c r="F1" s="8"/>
    </row>
    <row r="2" spans="1:11">
      <c r="A2" s="7"/>
      <c r="B2" s="8"/>
      <c r="C2" s="8"/>
      <c r="E2" s="8"/>
      <c r="F2" s="8"/>
    </row>
    <row r="3" spans="1:11">
      <c r="A3" s="7"/>
      <c r="B3" s="8"/>
      <c r="C3" s="8"/>
      <c r="E3" s="8"/>
      <c r="F3" s="8"/>
    </row>
    <row r="4" spans="1:11">
      <c r="A4" s="7"/>
      <c r="B4" s="8"/>
      <c r="C4" s="8"/>
      <c r="E4" s="8"/>
      <c r="F4" s="8"/>
      <c r="I4">
        <v>60</v>
      </c>
      <c r="J4">
        <v>38.075272281961773</v>
      </c>
      <c r="K4">
        <v>23.382210492064207</v>
      </c>
    </row>
    <row r="5" spans="1:11">
      <c r="A5" s="7"/>
      <c r="B5" s="8"/>
      <c r="C5" s="8"/>
      <c r="E5" s="8"/>
      <c r="F5" s="8"/>
      <c r="I5">
        <v>59</v>
      </c>
      <c r="J5">
        <v>37.096952420737558</v>
      </c>
      <c r="K5">
        <v>23.031572814599087</v>
      </c>
    </row>
    <row r="6" spans="1:11">
      <c r="A6" s="7"/>
      <c r="B6" s="8"/>
      <c r="C6" s="8"/>
      <c r="E6" s="8"/>
      <c r="F6" s="8"/>
      <c r="I6">
        <v>58</v>
      </c>
      <c r="J6">
        <v>36.141795169058689</v>
      </c>
      <c r="K6">
        <v>22.680201501063042</v>
      </c>
    </row>
    <row r="7" spans="1:11">
      <c r="A7" s="7"/>
      <c r="B7" s="8"/>
      <c r="C7" s="8"/>
      <c r="E7" s="8"/>
      <c r="F7" s="8"/>
      <c r="I7">
        <v>57</v>
      </c>
      <c r="J7">
        <v>35.208507709164365</v>
      </c>
      <c r="K7">
        <v>22.328072030634157</v>
      </c>
    </row>
    <row r="8" spans="1:11">
      <c r="A8" s="7"/>
      <c r="B8" s="8"/>
      <c r="C8" s="8"/>
      <c r="E8" s="8"/>
      <c r="F8" s="8"/>
      <c r="I8">
        <v>56</v>
      </c>
      <c r="J8">
        <v>34.295910708197056</v>
      </c>
      <c r="K8">
        <v>21.975159622095237</v>
      </c>
    </row>
    <row r="9" spans="1:11">
      <c r="A9" s="7"/>
      <c r="B9" s="8"/>
      <c r="C9" s="8"/>
      <c r="E9" s="8"/>
      <c r="F9" s="8"/>
      <c r="I9">
        <v>55</v>
      </c>
      <c r="J9">
        <v>33.402924569272614</v>
      </c>
      <c r="K9">
        <v>21.62143922267148</v>
      </c>
    </row>
    <row r="10" spans="1:11">
      <c r="A10" s="7"/>
      <c r="B10" s="8"/>
      <c r="C10" s="8"/>
      <c r="E10" s="8"/>
      <c r="F10" s="8"/>
      <c r="I10">
        <v>54</v>
      </c>
      <c r="J10">
        <v>32.528557775995552</v>
      </c>
      <c r="K10">
        <v>21.266885496637048</v>
      </c>
    </row>
    <row r="11" spans="1:11">
      <c r="A11" s="7"/>
      <c r="B11" s="8"/>
      <c r="C11" s="8"/>
      <c r="E11" s="8"/>
      <c r="F11" s="8"/>
      <c r="I11">
        <v>53</v>
      </c>
      <c r="J11">
        <v>31.671896951601102</v>
      </c>
      <c r="K11">
        <v>20.911472813677911</v>
      </c>
    </row>
    <row r="12" spans="1:11">
      <c r="A12" s="7"/>
      <c r="B12" s="8"/>
      <c r="C12" s="8"/>
      <c r="E12" s="8"/>
      <c r="F12" s="8"/>
      <c r="I12">
        <v>52</v>
      </c>
      <c r="J12">
        <v>30.832098332520761</v>
      </c>
      <c r="K12">
        <v>20.555175236997517</v>
      </c>
    </row>
    <row r="13" spans="1:11">
      <c r="A13" s="7"/>
      <c r="B13" s="8"/>
      <c r="C13" s="8"/>
      <c r="E13" s="8"/>
      <c r="F13" s="8"/>
      <c r="I13">
        <v>51</v>
      </c>
      <c r="J13">
        <v>30.00838041652279</v>
      </c>
      <c r="K13">
        <v>20.197966511150977</v>
      </c>
    </row>
    <row r="14" spans="1:11">
      <c r="A14" s="7"/>
      <c r="B14" s="8"/>
      <c r="C14" s="8"/>
      <c r="E14" s="8"/>
      <c r="F14" s="8"/>
      <c r="I14">
        <v>50</v>
      </c>
      <c r="J14">
        <v>29.200017592334312</v>
      </c>
      <c r="K14">
        <v>19.839820049593371</v>
      </c>
    </row>
    <row r="15" spans="1:11">
      <c r="A15" s="7"/>
      <c r="B15" s="8"/>
      <c r="C15" s="8"/>
      <c r="E15" s="8"/>
      <c r="F15" s="8"/>
      <c r="I15">
        <v>49</v>
      </c>
      <c r="J15">
        <v>28.406334594182532</v>
      </c>
      <c r="K15">
        <v>19.48070892192699</v>
      </c>
    </row>
    <row r="16" spans="1:11">
      <c r="A16" s="7"/>
      <c r="B16" s="8"/>
      <c r="C16" s="8"/>
      <c r="E16" s="8"/>
      <c r="F16" s="8"/>
      <c r="I16">
        <v>48</v>
      </c>
      <c r="J16">
        <v>27.626701653465311</v>
      </c>
      <c r="K16">
        <v>19.120605840832141</v>
      </c>
    </row>
    <row r="17" spans="1:11">
      <c r="A17" s="7"/>
      <c r="B17" s="8"/>
      <c r="C17" s="8"/>
      <c r="E17" s="8"/>
      <c r="F17" s="8"/>
      <c r="I17">
        <v>47</v>
      </c>
      <c r="J17">
        <v>26.860530242589384</v>
      </c>
      <c r="K17">
        <v>18.759483148664756</v>
      </c>
    </row>
    <row r="18" spans="1:11">
      <c r="A18" s="7"/>
      <c r="B18" s="8"/>
      <c r="C18" s="8"/>
      <c r="E18" s="8"/>
      <c r="F18" s="8"/>
      <c r="I18">
        <v>46</v>
      </c>
      <c r="J18">
        <v>26.107269324257402</v>
      </c>
      <c r="K18">
        <v>18.397312803704775</v>
      </c>
    </row>
    <row r="19" spans="1:11">
      <c r="A19" s="7"/>
      <c r="B19" s="8"/>
      <c r="C19" s="8"/>
      <c r="E19" s="8"/>
      <c r="F19" s="8"/>
      <c r="I19">
        <v>45</v>
      </c>
      <c r="J19">
        <v>25.366402034157577</v>
      </c>
      <c r="K19">
        <v>18.034066366036509</v>
      </c>
    </row>
    <row r="20" spans="1:11">
      <c r="A20" s="7"/>
      <c r="B20" s="8"/>
      <c r="C20" s="8"/>
      <c r="E20" s="8"/>
      <c r="F20" s="8"/>
      <c r="I20">
        <v>44</v>
      </c>
      <c r="J20">
        <v>24.637442736885497</v>
      </c>
      <c r="K20">
        <v>17.669714983043892</v>
      </c>
    </row>
    <row r="21" spans="1:11">
      <c r="A21" s="7"/>
      <c r="B21" s="8"/>
      <c r="C21" s="8"/>
      <c r="E21" s="8"/>
      <c r="F21" s="8"/>
      <c r="I21">
        <v>43</v>
      </c>
      <c r="J21">
        <v>23.919934404596802</v>
      </c>
      <c r="K21">
        <v>17.304229374500604</v>
      </c>
    </row>
    <row r="22" spans="1:11">
      <c r="A22" s="7"/>
      <c r="B22" s="8"/>
      <c r="C22" s="8"/>
      <c r="E22" s="8"/>
      <c r="F22" s="8"/>
      <c r="I22">
        <v>42</v>
      </c>
      <c r="J22">
        <v>23.213446275804667</v>
      </c>
      <c r="K22">
        <v>16.937579817235839</v>
      </c>
    </row>
    <row r="23" spans="1:11">
      <c r="A23" s="7"/>
      <c r="B23" s="8"/>
      <c r="C23" s="8"/>
      <c r="E23" s="8"/>
      <c r="F23" s="8"/>
      <c r="I23">
        <v>41</v>
      </c>
      <c r="J23">
        <v>22.517571758251627</v>
      </c>
      <c r="K23">
        <v>16.569736129354112</v>
      </c>
    </row>
    <row r="24" spans="1:11">
      <c r="A24" s="7"/>
      <c r="B24" s="8"/>
      <c r="C24" s="8"/>
      <c r="E24" s="8"/>
      <c r="F24" s="8"/>
      <c r="I24">
        <v>40</v>
      </c>
      <c r="J24">
        <v>21.831926545172564</v>
      </c>
      <c r="K24">
        <v>16.200667653988138</v>
      </c>
    </row>
    <row r="25" spans="1:11">
      <c r="A25" s="7"/>
      <c r="B25" s="8"/>
      <c r="C25" s="8"/>
      <c r="E25" s="8"/>
      <c r="F25" s="8"/>
      <c r="I25">
        <v>39</v>
      </c>
      <c r="J25">
        <v>21.156146918745762</v>
      </c>
      <c r="K25">
        <v>15.830343242561698</v>
      </c>
    </row>
    <row r="26" spans="1:11">
      <c r="A26" s="7"/>
      <c r="B26" s="8"/>
      <c r="C26" s="8"/>
      <c r="E26" s="8"/>
      <c r="F26" s="8"/>
      <c r="I26">
        <v>38</v>
      </c>
      <c r="J26">
        <v>20.489888218266518</v>
      </c>
      <c r="K26">
        <v>15.458731237538212</v>
      </c>
    </row>
    <row r="27" spans="1:11">
      <c r="A27" s="7"/>
      <c r="B27" s="8"/>
      <c r="C27" s="8"/>
      <c r="E27" s="8"/>
      <c r="F27" s="8"/>
      <c r="I27">
        <v>37</v>
      </c>
      <c r="J27">
        <v>19.832823453713928</v>
      </c>
      <c r="K27">
        <v>15.085799454631243</v>
      </c>
    </row>
    <row r="28" spans="1:11">
      <c r="A28" s="7"/>
      <c r="B28" s="8"/>
      <c r="C28" s="8"/>
      <c r="E28" s="8"/>
      <c r="F28" s="8"/>
      <c r="I28">
        <v>36</v>
      </c>
      <c r="J28">
        <v>19.184642048019121</v>
      </c>
      <c r="K28">
        <v>14.711515164449178</v>
      </c>
    </row>
    <row r="29" spans="1:11">
      <c r="A29" s="7"/>
      <c r="B29" s="8"/>
      <c r="C29" s="8"/>
      <c r="E29" s="8"/>
      <c r="F29" s="8"/>
      <c r="I29">
        <v>35</v>
      </c>
      <c r="J29">
        <v>18.545048693576856</v>
      </c>
      <c r="K29">
        <v>14.335845073548183</v>
      </c>
    </row>
    <row r="30" spans="1:11">
      <c r="A30" s="7"/>
      <c r="B30" s="8"/>
      <c r="C30" s="8"/>
      <c r="E30" s="8"/>
      <c r="F30" s="8"/>
      <c r="I30">
        <v>34</v>
      </c>
      <c r="J30">
        <v>17.913762310431675</v>
      </c>
      <c r="K30">
        <v>13.958755304863567</v>
      </c>
    </row>
    <row r="31" spans="1:11">
      <c r="A31" s="7"/>
      <c r="B31" s="8"/>
      <c r="C31" s="8"/>
      <c r="E31" s="8"/>
      <c r="F31" s="8"/>
      <c r="I31">
        <v>33</v>
      </c>
      <c r="J31">
        <v>17.290515095184379</v>
      </c>
      <c r="K31">
        <v>13.580211377489961</v>
      </c>
    </row>
    <row r="32" spans="1:11">
      <c r="A32" s="7"/>
      <c r="B32" s="8"/>
      <c r="C32" s="8"/>
      <c r="E32" s="8"/>
      <c r="F32" s="8"/>
      <c r="I32">
        <v>32</v>
      </c>
      <c r="J32">
        <v>16.675051651039816</v>
      </c>
      <c r="K32">
        <v>13.200178185777748</v>
      </c>
    </row>
    <row r="33" spans="1:11">
      <c r="A33" s="7"/>
      <c r="B33" s="8"/>
      <c r="C33" s="8"/>
      <c r="E33" s="8"/>
      <c r="F33" s="8"/>
      <c r="I33">
        <v>31</v>
      </c>
      <c r="J33">
        <v>16.067128190598286</v>
      </c>
      <c r="K33">
        <v>12.818619977713336</v>
      </c>
    </row>
    <row r="34" spans="1:11">
      <c r="A34" s="7"/>
      <c r="B34" s="8"/>
      <c r="C34" s="8"/>
      <c r="E34" s="8"/>
      <c r="F34" s="8"/>
      <c r="I34">
        <v>30</v>
      </c>
      <c r="J34">
        <v>15.466511804006489</v>
      </c>
      <c r="K34">
        <v>12.435500332547011</v>
      </c>
    </row>
    <row r="35" spans="1:11">
      <c r="A35" s="7"/>
      <c r="B35" s="8"/>
      <c r="C35" s="8"/>
      <c r="E35" s="8"/>
      <c r="F35" s="8"/>
      <c r="I35">
        <v>29</v>
      </c>
      <c r="J35">
        <v>14.872979785961997</v>
      </c>
      <c r="K35">
        <v>12.050782137632183</v>
      </c>
    </row>
    <row r="36" spans="1:11">
      <c r="A36" s="7"/>
      <c r="B36" s="8"/>
      <c r="C36" s="8"/>
      <c r="E36" s="8"/>
      <c r="F36" s="8"/>
      <c r="I36">
        <v>28</v>
      </c>
      <c r="J36">
        <v>14.286319015819165</v>
      </c>
      <c r="K36">
        <v>11.66442756443622</v>
      </c>
    </row>
    <row r="37" spans="1:11">
      <c r="A37" s="7"/>
      <c r="B37" s="8"/>
      <c r="C37" s="8"/>
      <c r="E37" s="8"/>
      <c r="F37" s="8"/>
      <c r="I37">
        <v>27</v>
      </c>
      <c r="J37">
        <v>13.706325385704998</v>
      </c>
      <c r="K37">
        <v>11.276398043682073</v>
      </c>
    </row>
    <row r="38" spans="1:11">
      <c r="A38" s="7"/>
      <c r="B38" s="8"/>
      <c r="C38" s="8"/>
      <c r="E38" s="8"/>
      <c r="F38" s="8"/>
      <c r="I38">
        <v>26</v>
      </c>
      <c r="J38">
        <v>13.132803272122826</v>
      </c>
      <c r="K38">
        <v>10.886654239577581</v>
      </c>
    </row>
    <row r="39" spans="1:11">
      <c r="A39" s="7"/>
      <c r="B39" s="8"/>
      <c r="C39" s="8"/>
      <c r="E39" s="8"/>
      <c r="F39" s="8"/>
      <c r="I39">
        <v>25</v>
      </c>
      <c r="J39">
        <v>12.565565047020229</v>
      </c>
      <c r="K39">
        <v>10.495156023085332</v>
      </c>
    </row>
    <row r="40" spans="1:11">
      <c r="A40" s="7"/>
      <c r="B40" s="8"/>
      <c r="C40" s="8"/>
      <c r="E40" s="8"/>
      <c r="F40" s="8"/>
      <c r="I40">
        <v>24</v>
      </c>
      <c r="J40">
        <v>12.0044306247351</v>
      </c>
      <c r="K40">
        <v>10.10186244418631</v>
      </c>
    </row>
    <row r="41" spans="1:11">
      <c r="A41" s="7"/>
      <c r="B41" s="8"/>
      <c r="C41" s="8"/>
      <c r="E41" s="8"/>
      <c r="F41" s="8"/>
      <c r="I41">
        <v>23</v>
      </c>
      <c r="J41">
        <v>11.449227041613382</v>
      </c>
      <c r="K41">
        <v>9.7067317030843032</v>
      </c>
    </row>
    <row r="42" spans="1:11">
      <c r="A42" s="7"/>
      <c r="B42" s="8"/>
      <c r="C42" s="8"/>
      <c r="E42" s="8"/>
      <c r="F42" s="8"/>
      <c r="I42">
        <v>22</v>
      </c>
      <c r="J42">
        <v>10.899788065429973</v>
      </c>
      <c r="K42">
        <v>9.3097211202986383</v>
      </c>
    </row>
    <row r="43" spans="1:11">
      <c r="A43" s="7"/>
      <c r="B43" s="8"/>
      <c r="C43" s="8"/>
      <c r="E43" s="8"/>
      <c r="F43" s="8"/>
      <c r="I43">
        <v>21</v>
      </c>
      <c r="J43">
        <v>10.35595383203815</v>
      </c>
      <c r="K43">
        <v>8.9107871055861718</v>
      </c>
    </row>
    <row r="44" spans="1:11">
      <c r="A44" s="7"/>
      <c r="B44" s="8"/>
      <c r="C44" s="8"/>
      <c r="E44" s="8"/>
      <c r="F44" s="8"/>
      <c r="I44">
        <v>20</v>
      </c>
      <c r="J44">
        <v>9.8175705069340662</v>
      </c>
      <c r="K44">
        <v>8.5098851256334456</v>
      </c>
    </row>
    <row r="45" spans="1:11">
      <c r="A45" s="7"/>
      <c r="B45" s="8"/>
      <c r="C45" s="8"/>
      <c r="E45" s="8"/>
      <c r="F45" s="8"/>
      <c r="I45">
        <v>19</v>
      </c>
      <c r="J45">
        <v>9.2844899696539471</v>
      </c>
      <c r="K45">
        <v>8.106969670452699</v>
      </c>
    </row>
    <row r="46" spans="1:11">
      <c r="A46" s="7"/>
      <c r="B46" s="8"/>
      <c r="C46" s="8"/>
      <c r="E46" s="8"/>
      <c r="F46" s="8"/>
      <c r="I46">
        <v>18</v>
      </c>
      <c r="J46">
        <v>8.7565695191250192</v>
      </c>
      <c r="K46">
        <v>7.7019942184156251</v>
      </c>
    </row>
    <row r="47" spans="1:11">
      <c r="A47" s="7"/>
      <c r="B47" s="8"/>
      <c r="C47" s="8"/>
      <c r="E47" s="8"/>
      <c r="F47" s="8"/>
      <c r="I47">
        <v>17</v>
      </c>
      <c r="J47">
        <v>8.2336715982739097</v>
      </c>
      <c r="K47">
        <v>7.2949111998510014</v>
      </c>
    </row>
    <row r="48" spans="1:11">
      <c r="A48" s="7"/>
      <c r="B48" s="8"/>
      <c r="C48" s="8"/>
      <c r="E48" s="8"/>
      <c r="F48" s="8"/>
      <c r="I48">
        <v>16</v>
      </c>
      <c r="J48">
        <v>7.7156635363554251</v>
      </c>
      <c r="K48">
        <v>6.8856719591287803</v>
      </c>
    </row>
    <row r="49" spans="1:11">
      <c r="A49" s="7"/>
      <c r="B49" s="8"/>
      <c r="C49" s="8"/>
      <c r="E49" s="8"/>
      <c r="F49" s="8"/>
      <c r="I49">
        <v>15</v>
      </c>
      <c r="J49">
        <v>7.2024173076122056</v>
      </c>
      <c r="K49">
        <v>6.4742267151514961</v>
      </c>
    </row>
    <row r="50" spans="1:11">
      <c r="A50" s="7"/>
      <c r="B50" s="8"/>
      <c r="C50" s="8"/>
      <c r="E50" s="8"/>
      <c r="F50" s="8"/>
      <c r="I50">
        <v>14</v>
      </c>
      <c r="J50">
        <v>6.693809304998962</v>
      </c>
      <c r="K50">
        <v>6.0605245201626348</v>
      </c>
    </row>
    <row r="51" spans="1:11">
      <c r="A51" s="7"/>
      <c r="B51" s="8"/>
      <c r="C51" s="8"/>
      <c r="E51" s="8"/>
      <c r="F51" s="8"/>
      <c r="I51">
        <v>13</v>
      </c>
      <c r="J51">
        <v>6.1897201278250513</v>
      </c>
      <c r="K51">
        <v>5.6445132167822827</v>
      </c>
    </row>
    <row r="52" spans="1:11">
      <c r="A52" s="7"/>
      <c r="B52" s="8"/>
      <c r="C52" s="8"/>
      <c r="E52" s="8"/>
      <c r="F52" s="8"/>
      <c r="I52">
        <v>12</v>
      </c>
      <c r="J52">
        <v>5.690034382269058</v>
      </c>
      <c r="K52">
        <v>5.2261393931706976</v>
      </c>
    </row>
    <row r="53" spans="1:11">
      <c r="A53" s="7"/>
      <c r="B53" s="8"/>
      <c r="C53" s="8"/>
      <c r="E53" s="8"/>
      <c r="F53" s="8"/>
      <c r="I53">
        <v>11</v>
      </c>
      <c r="J53">
        <v>5.1946404938103337</v>
      </c>
      <c r="K53">
        <v>4.8053483362141796</v>
      </c>
    </row>
    <row r="54" spans="1:11">
      <c r="A54" s="7"/>
      <c r="B54" s="8"/>
      <c r="C54" s="8"/>
      <c r="E54" s="8"/>
      <c r="F54" s="8"/>
      <c r="I54">
        <v>10</v>
      </c>
      <c r="J54">
        <v>4.7034305307106115</v>
      </c>
      <c r="K54">
        <v>4.3820839826230813</v>
      </c>
    </row>
    <row r="55" spans="1:11">
      <c r="A55" s="7"/>
      <c r="B55" s="8"/>
      <c r="C55" s="8"/>
      <c r="E55" s="8"/>
      <c r="F55" s="8"/>
      <c r="I55">
        <v>9</v>
      </c>
      <c r="J55">
        <v>4.2163000377466764</v>
      </c>
      <c r="K55">
        <v>3.9562888678213288</v>
      </c>
    </row>
    <row r="56" spans="1:11">
      <c r="A56" s="7"/>
      <c r="B56" s="8"/>
      <c r="C56" s="8"/>
      <c r="E56" s="8"/>
      <c r="F56" s="8"/>
      <c r="I56">
        <v>8</v>
      </c>
      <c r="J56">
        <v>3.7331478794671695</v>
      </c>
      <c r="K56">
        <v>3.5279040725010407</v>
      </c>
    </row>
    <row r="57" spans="1:11">
      <c r="A57" s="7"/>
      <c r="B57" s="8"/>
      <c r="C57" s="8"/>
      <c r="E57" s="8"/>
      <c r="F57" s="8"/>
      <c r="I57">
        <v>7</v>
      </c>
      <c r="J57">
        <v>3.2538760923066783</v>
      </c>
      <c r="K57">
        <v>3.0968691667054373</v>
      </c>
    </row>
    <row r="58" spans="1:11">
      <c r="A58" s="7"/>
      <c r="B58" s="8"/>
      <c r="C58" s="8"/>
      <c r="E58" s="8"/>
      <c r="F58" s="8"/>
      <c r="I58">
        <v>6</v>
      </c>
      <c r="J58">
        <v>2.7783897449434836</v>
      </c>
      <c r="K58">
        <v>2.6631221512956951</v>
      </c>
    </row>
    <row r="59" spans="1:11">
      <c r="A59" s="7"/>
      <c r="B59" s="8"/>
      <c r="C59" s="8"/>
      <c r="E59" s="8"/>
      <c r="F59" s="8"/>
      <c r="I59">
        <v>5</v>
      </c>
      <c r="J59">
        <v>2.3065968063392197</v>
      </c>
      <c r="K59">
        <v>2.2265993966451942</v>
      </c>
    </row>
    <row r="60" spans="1:11">
      <c r="A60" s="7"/>
      <c r="B60" s="8"/>
      <c r="C60" s="8"/>
      <c r="E60" s="8"/>
      <c r="F60" s="8"/>
      <c r="I60">
        <v>4</v>
      </c>
      <c r="J60">
        <v>1.8384080209412328</v>
      </c>
      <c r="K60">
        <v>1.7872355783951521</v>
      </c>
    </row>
    <row r="61" spans="1:11">
      <c r="A61" s="7"/>
      <c r="B61" s="8"/>
      <c r="C61" s="8"/>
      <c r="E61" s="8"/>
      <c r="F61" s="8"/>
      <c r="I61">
        <v>3</v>
      </c>
      <c r="J61">
        <v>1.3737367905748343</v>
      </c>
      <c r="K61">
        <v>1.3449636100919371</v>
      </c>
    </row>
    <row r="62" spans="1:11">
      <c r="A62" s="7"/>
      <c r="B62" s="8"/>
      <c r="C62" s="8"/>
      <c r="E62" s="8"/>
      <c r="F62" s="8"/>
      <c r="I62">
        <v>2</v>
      </c>
      <c r="J62">
        <v>0.91249906257997337</v>
      </c>
      <c r="K62">
        <v>0.89971457251734477</v>
      </c>
    </row>
    <row r="63" spans="1:11">
      <c r="A63" s="7"/>
      <c r="B63" s="8"/>
      <c r="C63" s="8"/>
      <c r="E63" s="8"/>
      <c r="F63" s="8"/>
      <c r="I63">
        <v>1</v>
      </c>
      <c r="J63">
        <v>0.45461322379416419</v>
      </c>
      <c r="K63">
        <v>0.45141763950069763</v>
      </c>
    </row>
    <row r="64" spans="1:11">
      <c r="A64" s="7"/>
      <c r="B64" s="8"/>
      <c r="C64" s="8"/>
      <c r="E64" s="8"/>
      <c r="F64" s="8"/>
      <c r="I64">
        <v>0</v>
      </c>
      <c r="J64">
        <v>0</v>
      </c>
      <c r="K64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Inputs</vt:lpstr>
      <vt:lpstr>Geometry</vt:lpstr>
      <vt:lpstr>Math</vt:lpstr>
      <vt:lpstr>Steering_Calc</vt:lpstr>
      <vt:lpstr>ReadMe</vt:lpstr>
      <vt:lpstr>Formula_Test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오지영</cp:lastModifiedBy>
  <dcterms:modified xsi:type="dcterms:W3CDTF">2026-09-16T20:24:50Z</dcterms:modified>
</cp:coreProperties>
</file>